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edk\github\hgbt_app\dat\"/>
    </mc:Choice>
  </mc:AlternateContent>
  <xr:revisionPtr revIDLastSave="0" documentId="13_ncr:1_{781E8445-E430-43CB-97D4-A7CB31587C8B}" xr6:coauthVersionLast="47" xr6:coauthVersionMax="47" xr10:uidLastSave="{00000000-0000-0000-0000-000000000000}"/>
  <bookViews>
    <workbookView xWindow="2512" yWindow="2512" windowWidth="16201" windowHeight="9308" activeTab="1" xr2:uid="{00000000-000D-0000-FFFF-FFFF00000000}"/>
  </bookViews>
  <sheets>
    <sheet name="Sheet1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" i="2"/>
  <c r="E270" i="1"/>
  <c r="E269" i="1"/>
  <c r="E268" i="1"/>
  <c r="E267" i="1"/>
  <c r="E266" i="1"/>
  <c r="E265" i="1"/>
  <c r="E264" i="1"/>
  <c r="E263" i="1"/>
  <c r="E262" i="1"/>
  <c r="E261" i="1"/>
  <c r="E260" i="1"/>
  <c r="C260" i="1"/>
  <c r="E259" i="1"/>
  <c r="C259" i="1"/>
  <c r="E258" i="1"/>
  <c r="C258" i="1"/>
  <c r="E257" i="1"/>
  <c r="C257" i="1"/>
  <c r="E256" i="1"/>
  <c r="C256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13" i="1"/>
  <c r="E212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E68" i="1"/>
  <c r="E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H60" i="1"/>
  <c r="F60" i="1"/>
  <c r="E60" i="1"/>
  <c r="D60" i="1"/>
  <c r="C60" i="1"/>
  <c r="F59" i="1"/>
  <c r="E59" i="1"/>
  <c r="D59" i="1"/>
  <c r="C59" i="1"/>
  <c r="H59" i="1" s="1"/>
  <c r="F58" i="1"/>
  <c r="E58" i="1"/>
  <c r="D58" i="1"/>
  <c r="C58" i="1"/>
  <c r="H58" i="1" s="1"/>
  <c r="F57" i="1"/>
  <c r="E57" i="1"/>
  <c r="H57" i="1" s="1"/>
  <c r="D57" i="1"/>
  <c r="C57" i="1"/>
  <c r="F56" i="1"/>
  <c r="E56" i="1"/>
  <c r="D56" i="1"/>
  <c r="C56" i="1"/>
  <c r="H56" i="1" s="1"/>
  <c r="F55" i="1"/>
  <c r="E55" i="1"/>
  <c r="D55" i="1"/>
  <c r="C55" i="1"/>
  <c r="H55" i="1" s="1"/>
  <c r="F54" i="1"/>
  <c r="E54" i="1"/>
  <c r="D54" i="1"/>
  <c r="H54" i="1" s="1"/>
  <c r="C54" i="1"/>
  <c r="F53" i="1"/>
  <c r="E53" i="1"/>
  <c r="D53" i="1"/>
  <c r="C53" i="1"/>
  <c r="H53" i="1" s="1"/>
  <c r="F52" i="1"/>
  <c r="E52" i="1"/>
  <c r="D52" i="1"/>
  <c r="C52" i="1"/>
  <c r="H52" i="1" s="1"/>
  <c r="F51" i="1"/>
  <c r="E51" i="1"/>
  <c r="D51" i="1"/>
  <c r="C51" i="1"/>
  <c r="H51" i="1" s="1"/>
  <c r="F50" i="1"/>
  <c r="E50" i="1"/>
  <c r="D50" i="1"/>
  <c r="C50" i="1"/>
  <c r="H50" i="1" s="1"/>
  <c r="F49" i="1"/>
  <c r="E49" i="1"/>
  <c r="D49" i="1"/>
  <c r="C49" i="1"/>
  <c r="H49" i="1" s="1"/>
  <c r="F48" i="1"/>
  <c r="E48" i="1"/>
  <c r="D48" i="1"/>
  <c r="C48" i="1"/>
  <c r="H48" i="1" s="1"/>
  <c r="H47" i="1"/>
  <c r="F47" i="1"/>
  <c r="E47" i="1"/>
  <c r="D47" i="1"/>
  <c r="C47" i="1"/>
  <c r="E46" i="1"/>
  <c r="D46" i="1"/>
  <c r="C46" i="1"/>
  <c r="H46" i="1" s="1"/>
  <c r="E45" i="1"/>
  <c r="D45" i="1"/>
  <c r="C45" i="1"/>
  <c r="H45" i="1" s="1"/>
  <c r="E44" i="1"/>
  <c r="D44" i="1"/>
  <c r="C44" i="1"/>
  <c r="H44" i="1" s="1"/>
  <c r="E43" i="1"/>
  <c r="D43" i="1"/>
  <c r="C43" i="1"/>
  <c r="H43" i="1" s="1"/>
  <c r="E42" i="1"/>
  <c r="D42" i="1"/>
  <c r="C42" i="1"/>
  <c r="H42" i="1" s="1"/>
  <c r="E41" i="1"/>
  <c r="D41" i="1"/>
  <c r="C41" i="1"/>
  <c r="H41" i="1" s="1"/>
  <c r="E40" i="1"/>
  <c r="D40" i="1"/>
  <c r="C40" i="1"/>
  <c r="H40" i="1" s="1"/>
  <c r="E39" i="1"/>
  <c r="D39" i="1"/>
  <c r="C39" i="1"/>
  <c r="H39" i="1" s="1"/>
  <c r="E38" i="1"/>
  <c r="D38" i="1"/>
  <c r="C38" i="1"/>
  <c r="H38" i="1" s="1"/>
  <c r="E37" i="1"/>
  <c r="D37" i="1"/>
  <c r="C37" i="1"/>
  <c r="H37" i="1" s="1"/>
  <c r="E36" i="1"/>
  <c r="D36" i="1"/>
  <c r="C36" i="1"/>
  <c r="H36" i="1" s="1"/>
  <c r="E35" i="1"/>
  <c r="D35" i="1"/>
  <c r="H35" i="1" s="1"/>
  <c r="E34" i="1"/>
  <c r="D34" i="1"/>
  <c r="C34" i="1"/>
  <c r="H34" i="1" s="1"/>
  <c r="E33" i="1"/>
  <c r="D33" i="1"/>
  <c r="C33" i="1"/>
  <c r="H33" i="1" s="1"/>
  <c r="E32" i="1"/>
  <c r="D32" i="1"/>
  <c r="C32" i="1"/>
  <c r="H32" i="1" s="1"/>
  <c r="H31" i="1"/>
  <c r="E31" i="1"/>
  <c r="C31" i="1"/>
  <c r="E30" i="1"/>
  <c r="D30" i="1"/>
  <c r="C30" i="1"/>
  <c r="H30" i="1" s="1"/>
  <c r="E29" i="1"/>
  <c r="D29" i="1"/>
  <c r="C29" i="1"/>
  <c r="H29" i="1" s="1"/>
  <c r="E28" i="1"/>
  <c r="D28" i="1"/>
  <c r="C28" i="1"/>
  <c r="H28" i="1" s="1"/>
  <c r="E27" i="1"/>
  <c r="H27" i="1" s="1"/>
  <c r="D27" i="1"/>
  <c r="C27" i="1"/>
  <c r="E26" i="1"/>
  <c r="D26" i="1"/>
  <c r="C26" i="1"/>
  <c r="H26" i="1" s="1"/>
  <c r="E25" i="1"/>
  <c r="D25" i="1"/>
  <c r="C25" i="1"/>
  <c r="H25" i="1" s="1"/>
  <c r="E24" i="1"/>
  <c r="D24" i="1"/>
  <c r="C24" i="1"/>
  <c r="H24" i="1" s="1"/>
  <c r="E23" i="1"/>
  <c r="H23" i="1" s="1"/>
  <c r="D23" i="1"/>
  <c r="C23" i="1"/>
  <c r="E22" i="1"/>
  <c r="D22" i="1"/>
  <c r="C22" i="1"/>
  <c r="H22" i="1" s="1"/>
  <c r="E21" i="1"/>
  <c r="D21" i="1"/>
  <c r="C21" i="1"/>
  <c r="H21" i="1" s="1"/>
  <c r="F20" i="1"/>
  <c r="E20" i="1"/>
  <c r="D20" i="1"/>
  <c r="C20" i="1"/>
  <c r="H20" i="1" s="1"/>
  <c r="H19" i="1"/>
  <c r="F19" i="1"/>
  <c r="E19" i="1"/>
  <c r="D19" i="1"/>
  <c r="C19" i="1"/>
  <c r="F18" i="1"/>
  <c r="E18" i="1"/>
  <c r="D18" i="1"/>
  <c r="C18" i="1"/>
  <c r="H18" i="1" s="1"/>
  <c r="E17" i="1"/>
  <c r="D17" i="1"/>
  <c r="C17" i="1"/>
  <c r="H17" i="1" s="1"/>
  <c r="E16" i="1"/>
  <c r="D16" i="1"/>
  <c r="H16" i="1" s="1"/>
  <c r="C16" i="1"/>
  <c r="E15" i="1"/>
  <c r="D15" i="1"/>
  <c r="C15" i="1"/>
  <c r="H15" i="1" s="1"/>
  <c r="E14" i="1"/>
  <c r="D14" i="1"/>
  <c r="C14" i="1"/>
  <c r="H14" i="1" s="1"/>
  <c r="E13" i="1"/>
  <c r="D13" i="1"/>
  <c r="C13" i="1"/>
  <c r="H13" i="1" s="1"/>
  <c r="E12" i="1"/>
  <c r="D12" i="1"/>
  <c r="H12" i="1" s="1"/>
  <c r="C12" i="1"/>
  <c r="E11" i="1"/>
  <c r="D11" i="1"/>
  <c r="C11" i="1"/>
  <c r="H11" i="1" s="1"/>
  <c r="E10" i="1"/>
  <c r="D10" i="1"/>
  <c r="C10" i="1"/>
  <c r="H10" i="1" s="1"/>
  <c r="E9" i="1"/>
  <c r="D9" i="1"/>
  <c r="C9" i="1"/>
  <c r="H9" i="1" s="1"/>
  <c r="E8" i="1"/>
  <c r="D8" i="1"/>
  <c r="H8" i="1" s="1"/>
  <c r="C8" i="1"/>
  <c r="F7" i="1"/>
  <c r="E7" i="1"/>
  <c r="D7" i="1"/>
  <c r="C7" i="1"/>
  <c r="H7" i="1" s="1"/>
  <c r="E6" i="1"/>
  <c r="D6" i="1"/>
  <c r="C6" i="1"/>
  <c r="H6" i="1" s="1"/>
  <c r="E5" i="1"/>
  <c r="D5" i="1"/>
  <c r="C5" i="1"/>
  <c r="H5" i="1" s="1"/>
  <c r="E4" i="1"/>
  <c r="H4" i="1" s="1"/>
  <c r="D4" i="1"/>
  <c r="C4" i="1"/>
  <c r="E3" i="1"/>
  <c r="D3" i="1"/>
  <c r="C3" i="1"/>
  <c r="H3" i="1" s="1"/>
  <c r="E2" i="1"/>
  <c r="D2" i="1"/>
  <c r="C2" i="1"/>
  <c r="H2" i="1" s="1"/>
</calcChain>
</file>

<file path=xl/sharedStrings.xml><?xml version="1.0" encoding="utf-8"?>
<sst xmlns="http://schemas.openxmlformats.org/spreadsheetml/2006/main" count="555" uniqueCount="45">
  <si>
    <t>Tahun</t>
  </si>
  <si>
    <t>Perusahaan</t>
  </si>
  <si>
    <t>Labor Cost</t>
  </si>
  <si>
    <t>Input Cost</t>
  </si>
  <si>
    <t>Capital Cost</t>
  </si>
  <si>
    <t>Revenue</t>
  </si>
  <si>
    <t>HBGT</t>
  </si>
  <si>
    <t>cek</t>
  </si>
  <si>
    <t>exchange rate</t>
  </si>
  <si>
    <t>PT Pupuk Sriwidjaja Palembang</t>
  </si>
  <si>
    <t>PT Pupuk Kujang Cikampek</t>
  </si>
  <si>
    <t>PT Pupuk Kalimantan Timur</t>
  </si>
  <si>
    <t>PT Pupuk Iskandar Muda</t>
  </si>
  <si>
    <t>PT Petrokimia Gresik</t>
  </si>
  <si>
    <t>PT Krakatau Steel</t>
  </si>
  <si>
    <t>PT Unggul Indah Cahaya Tbk</t>
  </si>
  <si>
    <t>PT Aneka Gas Industri</t>
  </si>
  <si>
    <t>PT Tifico Fiber Indonesia Tbk</t>
  </si>
  <si>
    <t>PT Asia Pasific Fibers Tbk</t>
  </si>
  <si>
    <t>PT Polychem Indonesia</t>
  </si>
  <si>
    <t xml:space="preserve">PT Chandra Asri Petrochemical </t>
  </si>
  <si>
    <t>PT Indo Kordsa Tbk</t>
  </si>
  <si>
    <t>PT Polytama Propindo</t>
  </si>
  <si>
    <t>PT Lotte Chemical Titan</t>
  </si>
  <si>
    <t>PT Emdeki Utama Tbk</t>
  </si>
  <si>
    <t>PT Tunas Baru Lampung Tbk</t>
  </si>
  <si>
    <t>PT Citra Tubindo Tbk</t>
  </si>
  <si>
    <t>PT Gunung Raja Paksi Tbk</t>
  </si>
  <si>
    <t>PT Saranacentral Bajatama Tbk</t>
  </si>
  <si>
    <t>PT Pelat Timah Nusantara Tbk</t>
  </si>
  <si>
    <t>PT Garuda Metalindo Tbk</t>
  </si>
  <si>
    <t>PT Gunawan Dianjaya Steel Tbk</t>
  </si>
  <si>
    <t>PT Betonjaya Manunggal Tbk</t>
  </si>
  <si>
    <t>PT Steel Pipe Industry of Indonesia Tbk</t>
  </si>
  <si>
    <t>PT Mark Dynamics Indonesia Tbk</t>
  </si>
  <si>
    <t>PT Keramika Indonesia Assosiasi Tbk</t>
  </si>
  <si>
    <t>PT Cahayaputra Asa Keramik Tbk</t>
  </si>
  <si>
    <t>PT Arwana Citramulia Tbk</t>
  </si>
  <si>
    <t>PT Surya Toto Indonesia Tbk</t>
  </si>
  <si>
    <t>PT Asahimas Flat Glass Tbk</t>
  </si>
  <si>
    <t>L</t>
  </si>
  <si>
    <t>M</t>
  </si>
  <si>
    <t>K</t>
  </si>
  <si>
    <t>R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</si>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</sst>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6"/>
  <sheetViews>
    <sheetView topLeftCell="B1" workbookViewId="0">
      <pane ySplit="1" topLeftCell="A118" activePane="bottomLeft" state="frozen"/>
      <selection pane="bottomLeft" activeCell="C132" sqref="C132"/>
    </sheetView>
  </sheetViews>
  <sheetFormatPr defaultColWidth="12.59765625" defaultRowHeight="15.75" customHeight="1" x14ac:dyDescent="0.35"/>
  <cols>
    <col min="2" max="2" width="30.39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2">
        <v>2024</v>
      </c>
      <c r="B2" s="2" t="s">
        <v>9</v>
      </c>
      <c r="C2" s="3">
        <f>841766-331567</f>
        <v>510199</v>
      </c>
      <c r="D2" s="3">
        <f>7835774+832770</f>
        <v>8668544</v>
      </c>
      <c r="E2" s="3">
        <f>1017916+317599+318909</f>
        <v>1654424</v>
      </c>
      <c r="F2" s="3">
        <v>13532865</v>
      </c>
      <c r="G2" s="2">
        <v>1</v>
      </c>
      <c r="H2" s="3">
        <f t="shared" ref="H2:H60" si="0">SUM(C2:E2)</f>
        <v>10833167</v>
      </c>
    </row>
    <row r="3" spans="1:26" ht="12.75" x14ac:dyDescent="0.35">
      <c r="A3" s="2">
        <v>2023</v>
      </c>
      <c r="B3" s="2" t="s">
        <v>9</v>
      </c>
      <c r="C3" s="3">
        <f>907811</f>
        <v>907811</v>
      </c>
      <c r="D3" s="3">
        <f>8096263+809214</f>
        <v>8905477</v>
      </c>
      <c r="E3" s="3">
        <f>930518+285039+242848</f>
        <v>1458405</v>
      </c>
      <c r="F3" s="3">
        <v>13371676</v>
      </c>
      <c r="G3" s="2">
        <v>1</v>
      </c>
      <c r="H3" s="3">
        <f t="shared" si="0"/>
        <v>11271693</v>
      </c>
    </row>
    <row r="4" spans="1:26" ht="12.75" x14ac:dyDescent="0.35">
      <c r="A4" s="2">
        <v>2022</v>
      </c>
      <c r="B4" s="2" t="s">
        <v>9</v>
      </c>
      <c r="C4" s="3">
        <f>882285</f>
        <v>882285</v>
      </c>
      <c r="D4" s="3">
        <f>8422660+666601</f>
        <v>9089261</v>
      </c>
      <c r="E4" s="3">
        <f>855773+242691+269989</f>
        <v>1368453</v>
      </c>
      <c r="F4" s="3">
        <v>15787492</v>
      </c>
      <c r="G4" s="2">
        <v>1</v>
      </c>
      <c r="H4" s="3">
        <f t="shared" si="0"/>
        <v>11339999</v>
      </c>
    </row>
    <row r="5" spans="1:26" ht="12.75" x14ac:dyDescent="0.35">
      <c r="A5" s="2">
        <v>2021</v>
      </c>
      <c r="B5" s="2" t="s">
        <v>9</v>
      </c>
      <c r="C5" s="3">
        <f>738216</f>
        <v>738216</v>
      </c>
      <c r="D5" s="3">
        <f>7548088+552572</f>
        <v>8100660</v>
      </c>
      <c r="E5" s="3">
        <f>810081+213474+170935</f>
        <v>1194490</v>
      </c>
      <c r="F5" s="3">
        <v>12480575</v>
      </c>
      <c r="G5" s="2">
        <v>1</v>
      </c>
      <c r="H5" s="3">
        <f t="shared" si="0"/>
        <v>10033366</v>
      </c>
    </row>
    <row r="6" spans="1:26" ht="12.75" x14ac:dyDescent="0.35">
      <c r="A6" s="2">
        <v>2020</v>
      </c>
      <c r="B6" s="2" t="s">
        <v>9</v>
      </c>
      <c r="C6" s="3">
        <f>656957</f>
        <v>656957</v>
      </c>
      <c r="D6" s="3">
        <f>6493201+443129</f>
        <v>6936330</v>
      </c>
      <c r="E6" s="3">
        <f>890987+169069+38009</f>
        <v>1098065</v>
      </c>
      <c r="F6" s="3">
        <v>10718032</v>
      </c>
      <c r="G6" s="2">
        <v>1</v>
      </c>
      <c r="H6" s="3">
        <f t="shared" si="0"/>
        <v>8691352</v>
      </c>
    </row>
    <row r="7" spans="1:26" ht="12.75" x14ac:dyDescent="0.35">
      <c r="A7" s="2">
        <v>2019</v>
      </c>
      <c r="B7" s="2" t="s">
        <v>9</v>
      </c>
      <c r="C7" s="3">
        <f>654820</f>
        <v>654820</v>
      </c>
      <c r="D7" s="3">
        <f>6618410+417402</f>
        <v>7035812</v>
      </c>
      <c r="E7" s="3">
        <f>727317+157595+83375</f>
        <v>968287</v>
      </c>
      <c r="F7" s="3">
        <f>9600132</f>
        <v>9600132</v>
      </c>
      <c r="G7" s="2">
        <v>1</v>
      </c>
      <c r="H7" s="3">
        <f t="shared" si="0"/>
        <v>8658919</v>
      </c>
    </row>
    <row r="8" spans="1:26" ht="12.75" x14ac:dyDescent="0.35">
      <c r="A8" s="2">
        <v>2018</v>
      </c>
      <c r="B8" s="2" t="s">
        <v>9</v>
      </c>
      <c r="C8" s="3">
        <f>587281</f>
        <v>587281</v>
      </c>
      <c r="D8" s="3">
        <f>7122873+387890</f>
        <v>7510763</v>
      </c>
      <c r="E8" s="3">
        <f>566645+153399+205165</f>
        <v>925209</v>
      </c>
      <c r="F8" s="3">
        <v>11059641</v>
      </c>
      <c r="G8" s="2">
        <v>1</v>
      </c>
      <c r="H8" s="3">
        <f t="shared" si="0"/>
        <v>9023253</v>
      </c>
    </row>
    <row r="9" spans="1:26" ht="12.75" x14ac:dyDescent="0.35">
      <c r="A9" s="2">
        <v>2017</v>
      </c>
      <c r="B9" s="2" t="s">
        <v>9</v>
      </c>
      <c r="C9" s="3">
        <f>433002</f>
        <v>433002</v>
      </c>
      <c r="D9" s="3">
        <f>6350197+418054</f>
        <v>6768251</v>
      </c>
      <c r="E9" s="3">
        <f>461092+124771+537+150486</f>
        <v>736886</v>
      </c>
      <c r="F9" s="3">
        <v>9970848</v>
      </c>
      <c r="G9" s="2">
        <v>1</v>
      </c>
      <c r="H9" s="3">
        <f t="shared" si="0"/>
        <v>7938139</v>
      </c>
    </row>
    <row r="10" spans="1:26" ht="12.75" x14ac:dyDescent="0.35">
      <c r="A10" s="2">
        <v>2016</v>
      </c>
      <c r="B10" s="2" t="s">
        <v>9</v>
      </c>
      <c r="C10" s="3">
        <f>432335</f>
        <v>432335</v>
      </c>
      <c r="D10" s="3">
        <f>5770002+399637</f>
        <v>6169639</v>
      </c>
      <c r="E10" s="3">
        <f>144916+137360+9400+110989</f>
        <v>402665</v>
      </c>
      <c r="F10" s="3">
        <v>8415717</v>
      </c>
      <c r="G10" s="2">
        <v>0</v>
      </c>
      <c r="H10" s="3">
        <f t="shared" si="0"/>
        <v>7004639</v>
      </c>
    </row>
    <row r="11" spans="1:26" ht="12.75" x14ac:dyDescent="0.35">
      <c r="A11" s="2">
        <v>2015</v>
      </c>
      <c r="B11" s="2" t="s">
        <v>9</v>
      </c>
      <c r="C11" s="3">
        <f>416937</f>
        <v>416937</v>
      </c>
      <c r="D11" s="3">
        <f>5963696+395318</f>
        <v>6359014</v>
      </c>
      <c r="E11" s="3">
        <f>122519+232664+6031+185685</f>
        <v>546899</v>
      </c>
      <c r="F11" s="3">
        <v>8568734</v>
      </c>
      <c r="G11" s="2">
        <v>0</v>
      </c>
      <c r="H11" s="3">
        <f t="shared" si="0"/>
        <v>7322850</v>
      </c>
    </row>
    <row r="12" spans="1:26" ht="12.75" x14ac:dyDescent="0.35">
      <c r="A12" s="2">
        <v>2024</v>
      </c>
      <c r="B12" s="2" t="s">
        <v>10</v>
      </c>
      <c r="C12" s="3">
        <f>389632+202788</f>
        <v>592420</v>
      </c>
      <c r="D12" s="3">
        <f>4490185</f>
        <v>4490185</v>
      </c>
      <c r="E12" s="3">
        <f>375475+355714</f>
        <v>731189</v>
      </c>
      <c r="F12" s="3">
        <v>7548265</v>
      </c>
      <c r="G12" s="2">
        <v>1</v>
      </c>
      <c r="H12" s="3">
        <f t="shared" si="0"/>
        <v>5813794</v>
      </c>
    </row>
    <row r="13" spans="1:26" ht="12.75" x14ac:dyDescent="0.35">
      <c r="A13" s="2">
        <v>2023</v>
      </c>
      <c r="B13" s="2" t="s">
        <v>10</v>
      </c>
      <c r="C13" s="3">
        <f>407040+135060</f>
        <v>542100</v>
      </c>
      <c r="D13" s="3">
        <f>4404499</f>
        <v>4404499</v>
      </c>
      <c r="E13" s="3">
        <f>314068+359734</f>
        <v>673802</v>
      </c>
      <c r="F13" s="3">
        <v>6142060</v>
      </c>
      <c r="G13" s="2">
        <v>1</v>
      </c>
      <c r="H13" s="3">
        <f t="shared" si="0"/>
        <v>5620401</v>
      </c>
    </row>
    <row r="14" spans="1:26" ht="12.75" x14ac:dyDescent="0.35">
      <c r="A14" s="2">
        <v>2022</v>
      </c>
      <c r="B14" s="2" t="s">
        <v>10</v>
      </c>
      <c r="C14" s="3">
        <f>398751+124622</f>
        <v>523373</v>
      </c>
      <c r="D14" s="3">
        <f>4195198</f>
        <v>4195198</v>
      </c>
      <c r="E14" s="3">
        <f>346270+315328</f>
        <v>661598</v>
      </c>
      <c r="F14" s="3">
        <v>7239424</v>
      </c>
      <c r="G14" s="2">
        <v>1</v>
      </c>
      <c r="H14" s="3">
        <f t="shared" si="0"/>
        <v>5380169</v>
      </c>
    </row>
    <row r="15" spans="1:26" ht="12.75" x14ac:dyDescent="0.35">
      <c r="A15" s="2">
        <v>2021</v>
      </c>
      <c r="B15" s="2" t="s">
        <v>10</v>
      </c>
      <c r="C15" s="3">
        <f>335351+135272</f>
        <v>470623</v>
      </c>
      <c r="D15" s="3">
        <f>4763320</f>
        <v>4763320</v>
      </c>
      <c r="E15" s="3">
        <f>323708+292737</f>
        <v>616445</v>
      </c>
      <c r="F15" s="3">
        <v>6941342</v>
      </c>
      <c r="G15" s="2">
        <v>1</v>
      </c>
      <c r="H15" s="3">
        <f t="shared" si="0"/>
        <v>5850388</v>
      </c>
    </row>
    <row r="16" spans="1:26" ht="12.75" x14ac:dyDescent="0.35">
      <c r="A16" s="2">
        <v>2020</v>
      </c>
      <c r="B16" s="2" t="s">
        <v>10</v>
      </c>
      <c r="C16" s="3">
        <f>287709+78304</f>
        <v>366013</v>
      </c>
      <c r="D16" s="3">
        <f>3798912</f>
        <v>3798912</v>
      </c>
      <c r="E16" s="3">
        <f>270659+214186</f>
        <v>484845</v>
      </c>
      <c r="F16" s="3">
        <v>6261284</v>
      </c>
      <c r="G16" s="2">
        <v>1</v>
      </c>
      <c r="H16" s="3">
        <f t="shared" si="0"/>
        <v>4649770</v>
      </c>
    </row>
    <row r="17" spans="1:8" ht="12.75" x14ac:dyDescent="0.35">
      <c r="A17" s="2">
        <v>2019</v>
      </c>
      <c r="B17" s="2" t="s">
        <v>10</v>
      </c>
      <c r="C17" s="3">
        <f>304853+167316</f>
        <v>472169</v>
      </c>
      <c r="D17" s="3">
        <f>3984731</f>
        <v>3984731</v>
      </c>
      <c r="E17" s="3">
        <f>267952+73632</f>
        <v>341584</v>
      </c>
      <c r="F17" s="3">
        <v>5581682</v>
      </c>
      <c r="G17" s="2">
        <v>1</v>
      </c>
      <c r="H17" s="3">
        <f t="shared" si="0"/>
        <v>4798484</v>
      </c>
    </row>
    <row r="18" spans="1:8" ht="12.75" x14ac:dyDescent="0.35">
      <c r="A18" s="2">
        <v>2018</v>
      </c>
      <c r="B18" s="2" t="s">
        <v>10</v>
      </c>
      <c r="C18" s="3">
        <f>289537+44807</f>
        <v>334344</v>
      </c>
      <c r="D18" s="3">
        <f>3195646</f>
        <v>3195646</v>
      </c>
      <c r="E18" s="3">
        <f>817252+267777+8662+21367</f>
        <v>1115058</v>
      </c>
      <c r="F18" s="3">
        <f>5507951</f>
        <v>5507951</v>
      </c>
      <c r="G18" s="2">
        <v>1</v>
      </c>
      <c r="H18" s="3">
        <f t="shared" si="0"/>
        <v>4645048</v>
      </c>
    </row>
    <row r="19" spans="1:8" ht="12.75" x14ac:dyDescent="0.35">
      <c r="A19" s="2">
        <v>2017</v>
      </c>
      <c r="B19" s="2" t="s">
        <v>10</v>
      </c>
      <c r="C19" s="3">
        <f>241063+66266</f>
        <v>307329</v>
      </c>
      <c r="D19" s="3">
        <f>3846293</f>
        <v>3846293</v>
      </c>
      <c r="E19" s="3">
        <f>180622+272712+8620+8851</f>
        <v>470805</v>
      </c>
      <c r="F19" s="3">
        <f>5406176</f>
        <v>5406176</v>
      </c>
      <c r="G19" s="2">
        <v>1</v>
      </c>
      <c r="H19" s="3">
        <f t="shared" si="0"/>
        <v>4624427</v>
      </c>
    </row>
    <row r="20" spans="1:8" ht="12.75" x14ac:dyDescent="0.35">
      <c r="A20" s="2">
        <v>2016</v>
      </c>
      <c r="B20" s="2" t="s">
        <v>10</v>
      </c>
      <c r="C20" s="3">
        <f>186347+61354</f>
        <v>247701</v>
      </c>
      <c r="D20" s="3">
        <f>3319525</f>
        <v>3319525</v>
      </c>
      <c r="E20" s="3">
        <f>257654+133571+65102+10363+2568</f>
        <v>469258</v>
      </c>
      <c r="F20" s="3">
        <f>5003823</f>
        <v>5003823</v>
      </c>
      <c r="G20" s="2">
        <v>0</v>
      </c>
      <c r="H20" s="3">
        <f t="shared" si="0"/>
        <v>4036484</v>
      </c>
    </row>
    <row r="21" spans="1:8" ht="12.75" x14ac:dyDescent="0.35">
      <c r="A21" s="2">
        <v>2015</v>
      </c>
      <c r="B21" s="2" t="s">
        <v>10</v>
      </c>
      <c r="C21" s="3">
        <f>211873+72876</f>
        <v>284749</v>
      </c>
      <c r="D21" s="3">
        <f>3303165</f>
        <v>3303165</v>
      </c>
      <c r="E21" s="3">
        <f>235657+90315+154098+15633+16388</f>
        <v>512091</v>
      </c>
      <c r="F21" s="3">
        <v>4504275</v>
      </c>
      <c r="G21" s="2">
        <v>0</v>
      </c>
      <c r="H21" s="3">
        <f t="shared" si="0"/>
        <v>4100005</v>
      </c>
    </row>
    <row r="22" spans="1:8" ht="12.75" x14ac:dyDescent="0.35">
      <c r="A22" s="2">
        <v>2024</v>
      </c>
      <c r="B22" s="2" t="s">
        <v>11</v>
      </c>
      <c r="C22" s="3">
        <f>1552491+870730</f>
        <v>2423221</v>
      </c>
      <c r="D22" s="3">
        <f>13240289</f>
        <v>13240289</v>
      </c>
      <c r="E22" s="3">
        <f>1571077+140065+506866</f>
        <v>2218008</v>
      </c>
      <c r="F22" s="3">
        <v>24956776</v>
      </c>
      <c r="G22" s="2">
        <v>1</v>
      </c>
      <c r="H22" s="3">
        <f t="shared" si="0"/>
        <v>17881518</v>
      </c>
    </row>
    <row r="23" spans="1:8" ht="12.75" x14ac:dyDescent="0.35">
      <c r="A23" s="2">
        <v>2023</v>
      </c>
      <c r="B23" s="2" t="s">
        <v>11</v>
      </c>
      <c r="C23" s="3">
        <f>1261713+1113942</f>
        <v>2375655</v>
      </c>
      <c r="D23" s="3">
        <f>12704260</f>
        <v>12704260</v>
      </c>
      <c r="E23" s="3">
        <f>1437386+396155+362763</f>
        <v>2196304</v>
      </c>
      <c r="F23" s="3">
        <v>23210384</v>
      </c>
      <c r="G23" s="2">
        <v>1</v>
      </c>
      <c r="H23" s="3">
        <f t="shared" si="0"/>
        <v>17276219</v>
      </c>
    </row>
    <row r="24" spans="1:8" ht="12.75" x14ac:dyDescent="0.35">
      <c r="A24" s="2">
        <v>2022</v>
      </c>
      <c r="B24" s="2" t="s">
        <v>11</v>
      </c>
      <c r="C24" s="3">
        <f>1212448+1073911</f>
        <v>2286359</v>
      </c>
      <c r="D24" s="3">
        <f>13716158</f>
        <v>13716158</v>
      </c>
      <c r="E24" s="3">
        <f>1289140+276532+163296</f>
        <v>1728968</v>
      </c>
      <c r="F24" s="3">
        <v>36940770</v>
      </c>
      <c r="G24" s="2">
        <v>1</v>
      </c>
      <c r="H24" s="3">
        <f t="shared" si="0"/>
        <v>17731485</v>
      </c>
    </row>
    <row r="25" spans="1:8" ht="12.75" x14ac:dyDescent="0.35">
      <c r="A25" s="2">
        <v>2021</v>
      </c>
      <c r="B25" s="2" t="s">
        <v>11</v>
      </c>
      <c r="C25" s="3">
        <f>921514+859798</f>
        <v>1781312</v>
      </c>
      <c r="D25" s="3">
        <f>12184299</f>
        <v>12184299</v>
      </c>
      <c r="E25" s="3">
        <f>1243820+283387+183532</f>
        <v>1710739</v>
      </c>
      <c r="F25" s="3">
        <v>25326684</v>
      </c>
      <c r="G25" s="2">
        <v>1</v>
      </c>
      <c r="H25" s="3">
        <f t="shared" si="0"/>
        <v>15676350</v>
      </c>
    </row>
    <row r="26" spans="1:8" ht="12.75" x14ac:dyDescent="0.35">
      <c r="A26" s="2">
        <v>2020</v>
      </c>
      <c r="B26" s="2" t="s">
        <v>11</v>
      </c>
      <c r="C26" s="3">
        <f>1030582+1084425</f>
        <v>2115007</v>
      </c>
      <c r="D26" s="3">
        <f>10263170</f>
        <v>10263170</v>
      </c>
      <c r="E26" s="3">
        <f>1105866+133015+171967</f>
        <v>1410848</v>
      </c>
      <c r="F26" s="3">
        <v>18846450</v>
      </c>
      <c r="G26" s="2">
        <v>1</v>
      </c>
      <c r="H26" s="3">
        <f t="shared" si="0"/>
        <v>13789025</v>
      </c>
    </row>
    <row r="27" spans="1:8" ht="12.75" x14ac:dyDescent="0.35">
      <c r="A27" s="2">
        <v>2019</v>
      </c>
      <c r="B27" s="2" t="s">
        <v>11</v>
      </c>
      <c r="C27" s="3">
        <f>975105+781160</f>
        <v>1756265</v>
      </c>
      <c r="D27" s="3">
        <f>9634712</f>
        <v>9634712</v>
      </c>
      <c r="E27" s="3">
        <f>1004804+330853+129118</f>
        <v>1464775</v>
      </c>
      <c r="F27" s="3">
        <v>17043632</v>
      </c>
      <c r="G27" s="2">
        <v>1</v>
      </c>
      <c r="H27" s="3">
        <f t="shared" si="0"/>
        <v>12855752</v>
      </c>
    </row>
    <row r="28" spans="1:8" ht="12.75" x14ac:dyDescent="0.35">
      <c r="A28" s="2">
        <v>2018</v>
      </c>
      <c r="B28" s="2" t="s">
        <v>11</v>
      </c>
      <c r="C28" s="3">
        <f>1149187+874111</f>
        <v>2023298</v>
      </c>
      <c r="D28" s="3">
        <f>9798500</f>
        <v>9798500</v>
      </c>
      <c r="E28" s="3">
        <f>1076149+306075+131113</f>
        <v>1513337</v>
      </c>
      <c r="F28" s="3">
        <v>18966191</v>
      </c>
      <c r="G28" s="2">
        <v>1</v>
      </c>
      <c r="H28" s="3">
        <f t="shared" si="0"/>
        <v>13335135</v>
      </c>
    </row>
    <row r="29" spans="1:8" ht="12.75" x14ac:dyDescent="0.35">
      <c r="A29" s="2">
        <v>2017</v>
      </c>
      <c r="B29" s="2" t="s">
        <v>11</v>
      </c>
      <c r="C29" s="3">
        <f>77275+384359</f>
        <v>461634</v>
      </c>
      <c r="D29" s="3">
        <f>8456648</f>
        <v>8456648</v>
      </c>
      <c r="E29" s="3">
        <f>969369+143881+90032</f>
        <v>1203282</v>
      </c>
      <c r="F29" s="3">
        <v>15098071</v>
      </c>
      <c r="G29" s="2">
        <v>1</v>
      </c>
      <c r="H29" s="3">
        <f t="shared" si="0"/>
        <v>10121564</v>
      </c>
    </row>
    <row r="30" spans="1:8" ht="12.75" x14ac:dyDescent="0.35">
      <c r="A30" s="2">
        <v>2016</v>
      </c>
      <c r="B30" s="2" t="s">
        <v>11</v>
      </c>
      <c r="C30" s="3">
        <f>940890+274522</f>
        <v>1215412</v>
      </c>
      <c r="D30" s="3">
        <f>8461185</f>
        <v>8461185</v>
      </c>
      <c r="E30" s="3">
        <f>885534+369725+112092</f>
        <v>1367351</v>
      </c>
      <c r="F30" s="3">
        <v>16230448</v>
      </c>
      <c r="G30" s="2">
        <v>0</v>
      </c>
      <c r="H30" s="3">
        <f t="shared" si="0"/>
        <v>11043948</v>
      </c>
    </row>
    <row r="31" spans="1:8" ht="12.75" x14ac:dyDescent="0.35">
      <c r="A31" s="2">
        <v>2015</v>
      </c>
      <c r="B31" s="2" t="s">
        <v>11</v>
      </c>
      <c r="C31" s="3">
        <f>759147+273038</f>
        <v>1032185</v>
      </c>
      <c r="D31" s="3">
        <v>9998241</v>
      </c>
      <c r="E31" s="3">
        <f>504514+320002+126495</f>
        <v>951011</v>
      </c>
      <c r="F31" s="3">
        <v>16543129</v>
      </c>
      <c r="G31" s="2">
        <v>0</v>
      </c>
      <c r="H31" s="3">
        <f t="shared" si="0"/>
        <v>11981437</v>
      </c>
    </row>
    <row r="32" spans="1:8" ht="12.75" x14ac:dyDescent="0.35">
      <c r="A32" s="2">
        <v>2024</v>
      </c>
      <c r="B32" s="2" t="s">
        <v>12</v>
      </c>
      <c r="C32" s="3">
        <f>292958</f>
        <v>292958</v>
      </c>
      <c r="D32" s="3">
        <f>3210004+356943</f>
        <v>3566947</v>
      </c>
      <c r="E32" s="3">
        <f>390472+79079+156358</f>
        <v>625909</v>
      </c>
      <c r="F32" s="3">
        <v>5951764</v>
      </c>
      <c r="G32" s="2">
        <v>1</v>
      </c>
      <c r="H32" s="3">
        <f t="shared" si="0"/>
        <v>4485814</v>
      </c>
    </row>
    <row r="33" spans="1:8" ht="12.75" x14ac:dyDescent="0.35">
      <c r="A33" s="2">
        <v>2023</v>
      </c>
      <c r="B33" s="2" t="s">
        <v>12</v>
      </c>
      <c r="C33" s="3">
        <f>259006</f>
        <v>259006</v>
      </c>
      <c r="D33" s="3">
        <f>2708646+162819</f>
        <v>2871465</v>
      </c>
      <c r="E33" s="3">
        <f>288988+70213+123450</f>
        <v>482651</v>
      </c>
      <c r="F33" s="3">
        <v>3782188</v>
      </c>
      <c r="G33" s="2">
        <v>1</v>
      </c>
      <c r="H33" s="3">
        <f t="shared" si="0"/>
        <v>3613122</v>
      </c>
    </row>
    <row r="34" spans="1:8" ht="12.75" x14ac:dyDescent="0.35">
      <c r="A34" s="2">
        <v>2022</v>
      </c>
      <c r="B34" s="2" t="s">
        <v>12</v>
      </c>
      <c r="C34" s="3">
        <f>225841</f>
        <v>225841</v>
      </c>
      <c r="D34" s="3">
        <f>2576255+237133</f>
        <v>2813388</v>
      </c>
      <c r="E34" s="3">
        <f>287722+110777+65570</f>
        <v>464069</v>
      </c>
      <c r="F34" s="3">
        <v>4336081</v>
      </c>
      <c r="G34" s="2">
        <v>1</v>
      </c>
      <c r="H34" s="3">
        <f t="shared" si="0"/>
        <v>3503298</v>
      </c>
    </row>
    <row r="35" spans="1:8" ht="12.75" x14ac:dyDescent="0.35">
      <c r="A35" s="2">
        <v>2021</v>
      </c>
      <c r="B35" s="2" t="s">
        <v>12</v>
      </c>
      <c r="C35" s="3">
        <v>185688</v>
      </c>
      <c r="D35" s="3">
        <f>1395552+155942</f>
        <v>1551494</v>
      </c>
      <c r="E35" s="3">
        <f>261442+54296+139877</f>
        <v>455615</v>
      </c>
      <c r="F35" s="3">
        <v>3439760</v>
      </c>
      <c r="G35" s="2">
        <v>1</v>
      </c>
      <c r="H35" s="3">
        <f t="shared" si="0"/>
        <v>2192797</v>
      </c>
    </row>
    <row r="36" spans="1:8" ht="12.75" x14ac:dyDescent="0.35">
      <c r="A36" s="2">
        <v>2020</v>
      </c>
      <c r="B36" s="2" t="s">
        <v>12</v>
      </c>
      <c r="C36" s="3">
        <f>190974</f>
        <v>190974</v>
      </c>
      <c r="D36" s="3">
        <f>1360272</f>
        <v>1360272</v>
      </c>
      <c r="E36" s="3">
        <f>279316+46802+273719</f>
        <v>599837</v>
      </c>
      <c r="F36" s="3">
        <v>2607137</v>
      </c>
      <c r="G36" s="2">
        <v>1</v>
      </c>
      <c r="H36" s="3">
        <f t="shared" si="0"/>
        <v>2151083</v>
      </c>
    </row>
    <row r="37" spans="1:8" ht="12.75" x14ac:dyDescent="0.35">
      <c r="A37" s="2">
        <v>2019</v>
      </c>
      <c r="B37" s="2" t="s">
        <v>12</v>
      </c>
      <c r="C37" s="3">
        <f>222770</f>
        <v>222770</v>
      </c>
      <c r="D37" s="3">
        <f>1347797</f>
        <v>1347797</v>
      </c>
      <c r="E37" s="3">
        <f>299511+61035+248743</f>
        <v>609289</v>
      </c>
      <c r="F37" s="3">
        <v>2321930</v>
      </c>
      <c r="G37" s="2">
        <v>1</v>
      </c>
      <c r="H37" s="3">
        <f t="shared" si="0"/>
        <v>2179856</v>
      </c>
    </row>
    <row r="38" spans="1:8" ht="12.75" x14ac:dyDescent="0.35">
      <c r="A38" s="2">
        <v>2018</v>
      </c>
      <c r="B38" s="2" t="s">
        <v>12</v>
      </c>
      <c r="C38" s="3">
        <f>234960+10876</f>
        <v>245836</v>
      </c>
      <c r="D38" s="3">
        <f>1238567+130948+24228</f>
        <v>1393743</v>
      </c>
      <c r="E38" s="3">
        <f>218390+58440+19600</f>
        <v>296430</v>
      </c>
      <c r="F38" s="3">
        <v>2769948</v>
      </c>
      <c r="G38" s="2">
        <v>1</v>
      </c>
      <c r="H38" s="3">
        <f t="shared" si="0"/>
        <v>1936009</v>
      </c>
    </row>
    <row r="39" spans="1:8" ht="12.75" x14ac:dyDescent="0.35">
      <c r="A39" s="2">
        <v>2017</v>
      </c>
      <c r="B39" s="2" t="s">
        <v>12</v>
      </c>
      <c r="C39" s="3">
        <f>206672+15325</f>
        <v>221997</v>
      </c>
      <c r="D39" s="3">
        <f>1068906+111276+18031</f>
        <v>1198213</v>
      </c>
      <c r="E39" s="3">
        <f>226509+42988+22631</f>
        <v>292128</v>
      </c>
      <c r="F39" s="3">
        <v>3061488</v>
      </c>
      <c r="G39" s="2">
        <v>1</v>
      </c>
      <c r="H39" s="3">
        <f t="shared" si="0"/>
        <v>1712338</v>
      </c>
    </row>
    <row r="40" spans="1:8" ht="12.75" x14ac:dyDescent="0.35">
      <c r="A40" s="2">
        <v>2016</v>
      </c>
      <c r="B40" s="2" t="s">
        <v>12</v>
      </c>
      <c r="C40" s="3">
        <f>195221+22965</f>
        <v>218186</v>
      </c>
      <c r="D40" s="3">
        <f>1434343+83666+19457</f>
        <v>1537466</v>
      </c>
      <c r="E40" s="3">
        <f>216238+35052+21545</f>
        <v>272835</v>
      </c>
      <c r="F40" s="3">
        <v>2828841</v>
      </c>
      <c r="G40" s="2">
        <v>0</v>
      </c>
      <c r="H40" s="3">
        <f t="shared" si="0"/>
        <v>2028487</v>
      </c>
    </row>
    <row r="41" spans="1:8" ht="12.75" x14ac:dyDescent="0.35">
      <c r="A41" s="2">
        <v>2024</v>
      </c>
      <c r="B41" s="2" t="s">
        <v>13</v>
      </c>
      <c r="C41" s="3">
        <f>1107618</f>
        <v>1107618</v>
      </c>
      <c r="D41" s="3">
        <f>19787852+809865+174412</f>
        <v>20772129</v>
      </c>
      <c r="E41" s="3">
        <f>1436244+522736+470823</f>
        <v>2429803</v>
      </c>
      <c r="F41" s="3">
        <v>29192211</v>
      </c>
      <c r="G41" s="2">
        <v>1</v>
      </c>
      <c r="H41" s="3">
        <f t="shared" si="0"/>
        <v>24309550</v>
      </c>
    </row>
    <row r="42" spans="1:8" ht="12.75" x14ac:dyDescent="0.35">
      <c r="A42" s="2">
        <v>2023</v>
      </c>
      <c r="B42" s="2" t="s">
        <v>13</v>
      </c>
      <c r="C42" s="3">
        <f>1063203</f>
        <v>1063203</v>
      </c>
      <c r="D42" s="3">
        <f>20830474+743788+135162</f>
        <v>21709424</v>
      </c>
      <c r="E42" s="3">
        <f>1380824+579448+483536</f>
        <v>2443808</v>
      </c>
      <c r="F42" s="3">
        <v>31739815</v>
      </c>
      <c r="G42" s="2">
        <v>1</v>
      </c>
      <c r="H42" s="3">
        <f t="shared" si="0"/>
        <v>25216435</v>
      </c>
    </row>
    <row r="43" spans="1:8" ht="12.75" x14ac:dyDescent="0.35">
      <c r="A43" s="2">
        <v>2022</v>
      </c>
      <c r="B43" s="2" t="s">
        <v>13</v>
      </c>
      <c r="C43" s="3">
        <f>1136827</f>
        <v>1136827</v>
      </c>
      <c r="D43" s="3">
        <f>29352935+772073+73826</f>
        <v>30198834</v>
      </c>
      <c r="E43" s="3">
        <f>1310819+541097+460675</f>
        <v>2312591</v>
      </c>
      <c r="F43" s="3">
        <v>39412846</v>
      </c>
      <c r="G43" s="2">
        <v>1</v>
      </c>
      <c r="H43" s="3">
        <f t="shared" si="0"/>
        <v>33648252</v>
      </c>
    </row>
    <row r="44" spans="1:8" ht="12.75" x14ac:dyDescent="0.35">
      <c r="A44" s="2">
        <v>2021</v>
      </c>
      <c r="B44" s="2" t="s">
        <v>13</v>
      </c>
      <c r="C44" s="3">
        <f>1050693</f>
        <v>1050693</v>
      </c>
      <c r="D44" s="3">
        <f>20568817+781898+111068</f>
        <v>21461783</v>
      </c>
      <c r="E44" s="3">
        <f>1196446+381815+377242</f>
        <v>1955503</v>
      </c>
      <c r="F44" s="3">
        <v>28903053</v>
      </c>
      <c r="G44" s="2">
        <v>1</v>
      </c>
      <c r="H44" s="3">
        <f t="shared" si="0"/>
        <v>24467979</v>
      </c>
    </row>
    <row r="45" spans="1:8" ht="12.75" x14ac:dyDescent="0.35">
      <c r="A45" s="2">
        <v>2020</v>
      </c>
      <c r="B45" s="2" t="s">
        <v>13</v>
      </c>
      <c r="C45" s="3">
        <f>1000068</f>
        <v>1000068</v>
      </c>
      <c r="D45" s="3">
        <f>16970250+714081+107972</f>
        <v>17792303</v>
      </c>
      <c r="E45" s="3">
        <f>1117284+439419+355107</f>
        <v>1911810</v>
      </c>
      <c r="F45" s="3">
        <v>26571112</v>
      </c>
      <c r="G45" s="2">
        <v>1</v>
      </c>
      <c r="H45" s="3">
        <f t="shared" si="0"/>
        <v>20704181</v>
      </c>
    </row>
    <row r="46" spans="1:8" ht="12.75" x14ac:dyDescent="0.35">
      <c r="A46" s="2">
        <v>2019</v>
      </c>
      <c r="B46" s="2" t="s">
        <v>13</v>
      </c>
      <c r="C46" s="3">
        <f>1223772</f>
        <v>1223772</v>
      </c>
      <c r="D46" s="3">
        <f>20112843+825475+157062</f>
        <v>21095380</v>
      </c>
      <c r="E46" s="3">
        <f>763503+461443+310536</f>
        <v>1535482</v>
      </c>
      <c r="F46" s="3">
        <v>28932149</v>
      </c>
      <c r="G46" s="2">
        <v>1</v>
      </c>
      <c r="H46" s="3">
        <f t="shared" si="0"/>
        <v>23854634</v>
      </c>
    </row>
    <row r="47" spans="1:8" ht="12.75" x14ac:dyDescent="0.35">
      <c r="A47" s="2">
        <v>2018</v>
      </c>
      <c r="B47" s="2" t="s">
        <v>13</v>
      </c>
      <c r="C47" s="3">
        <f>1105242</f>
        <v>1105242</v>
      </c>
      <c r="D47" s="3">
        <f>20072989+759565+175805</f>
        <v>21008359</v>
      </c>
      <c r="E47" s="3">
        <f>664681+379063+290388</f>
        <v>1334132</v>
      </c>
      <c r="F47" s="3">
        <f>27667823</f>
        <v>27667823</v>
      </c>
      <c r="G47" s="2">
        <v>1</v>
      </c>
      <c r="H47" s="3">
        <f t="shared" si="0"/>
        <v>23447733</v>
      </c>
    </row>
    <row r="48" spans="1:8" ht="12.75" x14ac:dyDescent="0.35">
      <c r="A48" s="2">
        <v>2017</v>
      </c>
      <c r="B48" s="2" t="s">
        <v>13</v>
      </c>
      <c r="C48" s="3">
        <f>1101070</f>
        <v>1101070</v>
      </c>
      <c r="D48" s="3">
        <f>15504226+447122+458129</f>
        <v>16409477</v>
      </c>
      <c r="E48" s="3">
        <f>418797+944197+319530</f>
        <v>1682524</v>
      </c>
      <c r="F48" s="3">
        <f>22641051</f>
        <v>22641051</v>
      </c>
      <c r="G48" s="2">
        <v>1</v>
      </c>
      <c r="H48" s="3">
        <f t="shared" si="0"/>
        <v>19193071</v>
      </c>
    </row>
    <row r="49" spans="1:9" ht="12.75" x14ac:dyDescent="0.35">
      <c r="A49" s="2">
        <v>2016</v>
      </c>
      <c r="B49" s="2" t="s">
        <v>13</v>
      </c>
      <c r="C49" s="3">
        <f>930924</f>
        <v>930924</v>
      </c>
      <c r="D49" s="3">
        <f>14889723+569123+307093</f>
        <v>15765939</v>
      </c>
      <c r="E49" s="3">
        <f>401008+383404+675731</f>
        <v>1460143</v>
      </c>
      <c r="F49" s="3">
        <f>25707464</f>
        <v>25707464</v>
      </c>
      <c r="G49" s="2">
        <v>0</v>
      </c>
      <c r="H49" s="3">
        <f t="shared" si="0"/>
        <v>18157006</v>
      </c>
    </row>
    <row r="50" spans="1:9" ht="12.75" x14ac:dyDescent="0.35">
      <c r="A50" s="2">
        <v>2015</v>
      </c>
      <c r="B50" s="2" t="s">
        <v>13</v>
      </c>
      <c r="C50" s="3">
        <f>791405</f>
        <v>791405</v>
      </c>
      <c r="D50" s="3">
        <f>21778439+564341+345400</f>
        <v>22688180</v>
      </c>
      <c r="E50" s="3">
        <f>315056+461756+417664</f>
        <v>1194476</v>
      </c>
      <c r="F50" s="3">
        <f>26729496</f>
        <v>26729496</v>
      </c>
      <c r="G50" s="2">
        <v>0</v>
      </c>
      <c r="H50" s="3">
        <f t="shared" si="0"/>
        <v>24674061</v>
      </c>
    </row>
    <row r="51" spans="1:9" ht="12.75" x14ac:dyDescent="0.35">
      <c r="A51" s="2">
        <v>2024</v>
      </c>
      <c r="B51" s="2" t="s">
        <v>14</v>
      </c>
      <c r="C51" s="3">
        <f>(20644*I51)/1000</f>
        <v>327319.90980000002</v>
      </c>
      <c r="D51" s="3">
        <f>((422131)*I51)/1000</f>
        <v>6693076.9639500007</v>
      </c>
      <c r="E51" s="3">
        <f>(47965*I51)/1000</f>
        <v>760506.65925000003</v>
      </c>
      <c r="F51" s="3">
        <f>((954597)*I51)/1000</f>
        <v>15135565.003650002</v>
      </c>
      <c r="G51" s="2">
        <v>1</v>
      </c>
      <c r="H51" s="3">
        <f t="shared" si="0"/>
        <v>7780903.5330000017</v>
      </c>
      <c r="I51" s="3">
        <v>15855.45</v>
      </c>
    </row>
    <row r="52" spans="1:9" ht="12.75" x14ac:dyDescent="0.35">
      <c r="A52" s="2">
        <v>2023</v>
      </c>
      <c r="B52" s="2" t="s">
        <v>14</v>
      </c>
      <c r="C52" s="3">
        <f>(20638*I52)/1000</f>
        <v>314458.72944000002</v>
      </c>
      <c r="D52" s="3">
        <f>(711726*I52)/1000</f>
        <v>10844483.654879998</v>
      </c>
      <c r="E52" s="3">
        <f>(103479*I52)/1000</f>
        <v>1576697.10552</v>
      </c>
      <c r="F52" s="3">
        <f>(1453968*I52)/1000</f>
        <v>22153935.93984</v>
      </c>
      <c r="G52" s="2">
        <v>1</v>
      </c>
      <c r="H52" s="3">
        <f t="shared" si="0"/>
        <v>12735639.489839999</v>
      </c>
      <c r="I52" s="3">
        <v>15236.88</v>
      </c>
    </row>
    <row r="53" spans="1:9" ht="12.75" x14ac:dyDescent="0.35">
      <c r="A53" s="2">
        <v>2022</v>
      </c>
      <c r="B53" s="2" t="s">
        <v>14</v>
      </c>
      <c r="C53" s="3">
        <f>(29521*I53)/1000</f>
        <v>438382.42185000004</v>
      </c>
      <c r="D53" s="3">
        <f>(1478955*I53)/1000</f>
        <v>21962259.906750001</v>
      </c>
      <c r="E53" s="3">
        <f>(153551*I53)/1000</f>
        <v>2280209.3173499997</v>
      </c>
      <c r="F53" s="3">
        <f>(2238533*I53)/1000</f>
        <v>33241879.27005</v>
      </c>
      <c r="G53" s="2">
        <v>1</v>
      </c>
      <c r="H53" s="3">
        <f t="shared" si="0"/>
        <v>24680851.645950001</v>
      </c>
      <c r="I53" s="3">
        <v>14849.85</v>
      </c>
    </row>
    <row r="54" spans="1:9" ht="12.75" x14ac:dyDescent="0.35">
      <c r="A54" s="2">
        <v>2021</v>
      </c>
      <c r="B54" s="2" t="s">
        <v>14</v>
      </c>
      <c r="C54" s="3">
        <f>(48130*I54)/1000</f>
        <v>688650.77819999994</v>
      </c>
      <c r="D54" s="3">
        <f>(1544597*I54)/1000</f>
        <v>22100310.119579997</v>
      </c>
      <c r="E54" s="3">
        <f>(141776*I54)/1000</f>
        <v>2028550.8566399999</v>
      </c>
      <c r="F54" s="3">
        <f>(2116752*I54)/1000</f>
        <v>30286783.961279999</v>
      </c>
      <c r="G54" s="2">
        <v>1</v>
      </c>
      <c r="H54" s="3">
        <f t="shared" si="0"/>
        <v>24817511.754419997</v>
      </c>
      <c r="I54" s="3">
        <v>14308.14</v>
      </c>
    </row>
    <row r="55" spans="1:9" ht="12.75" x14ac:dyDescent="0.35">
      <c r="A55" s="2">
        <v>2020</v>
      </c>
      <c r="B55" s="2" t="s">
        <v>14</v>
      </c>
      <c r="C55" s="3">
        <f>(42969*I55)/1000</f>
        <v>626582.55180000002</v>
      </c>
      <c r="D55" s="3">
        <f>(756041*I55)/1000</f>
        <v>11024741.0702</v>
      </c>
      <c r="E55" s="3">
        <f>(120926*I55)/1000</f>
        <v>1763367.1172</v>
      </c>
      <c r="F55" s="3">
        <f>(1353657*I55)/1000</f>
        <v>19739297.1054</v>
      </c>
      <c r="G55" s="2">
        <v>1</v>
      </c>
      <c r="H55" s="3">
        <f t="shared" si="0"/>
        <v>13414690.7392</v>
      </c>
      <c r="I55" s="3">
        <v>14582.2</v>
      </c>
    </row>
    <row r="56" spans="1:9" ht="12.75" x14ac:dyDescent="0.35">
      <c r="A56" s="2">
        <v>2019</v>
      </c>
      <c r="B56" s="2" t="s">
        <v>14</v>
      </c>
      <c r="C56" s="3">
        <f>(44315*I56)/1000</f>
        <v>626953.99604999996</v>
      </c>
      <c r="D56" s="3">
        <f>(749656*I56)/1000</f>
        <v>10605885.70152</v>
      </c>
      <c r="E56" s="3">
        <f>(111771*I56)/1000</f>
        <v>1581299.2235699999</v>
      </c>
      <c r="F56" s="3">
        <f>(1420500*I56)/1000</f>
        <v>20096765.234999999</v>
      </c>
      <c r="G56" s="2">
        <v>1</v>
      </c>
      <c r="H56" s="3">
        <f t="shared" si="0"/>
        <v>12814138.92114</v>
      </c>
      <c r="I56" s="3">
        <v>14147.67</v>
      </c>
    </row>
    <row r="57" spans="1:9" ht="12.75" x14ac:dyDescent="0.35">
      <c r="A57" s="2">
        <v>2018</v>
      </c>
      <c r="B57" s="2" t="s">
        <v>14</v>
      </c>
      <c r="C57" s="3">
        <f>(58513*I57)/1000</f>
        <v>833046.07021999999</v>
      </c>
      <c r="D57" s="3">
        <f>(1171349*I57)/1000</f>
        <v>16676425.432060001</v>
      </c>
      <c r="E57" s="3">
        <f>(87460*I57)/1000</f>
        <v>1245162.7724000001</v>
      </c>
      <c r="F57" s="3">
        <f>(1741847*I57)/1000</f>
        <v>24798571.228179999</v>
      </c>
      <c r="G57" s="2">
        <v>1</v>
      </c>
      <c r="H57" s="3">
        <f t="shared" si="0"/>
        <v>18754634.27468</v>
      </c>
      <c r="I57" s="3">
        <v>14236.94</v>
      </c>
    </row>
    <row r="58" spans="1:9" ht="12.75" x14ac:dyDescent="0.35">
      <c r="A58" s="2">
        <v>2017</v>
      </c>
      <c r="B58" s="2" t="s">
        <v>14</v>
      </c>
      <c r="C58" s="3">
        <f>(47948*I58)/1000</f>
        <v>641584.03684000007</v>
      </c>
      <c r="D58" s="3">
        <f>(875355*I58)/1000</f>
        <v>11712976.44465</v>
      </c>
      <c r="E58" s="3">
        <f>(73699*I58)/1000</f>
        <v>986153.79016999993</v>
      </c>
      <c r="F58" s="3">
        <f>(1449020*I58)/1000</f>
        <v>19389090.286599997</v>
      </c>
      <c r="G58" s="2">
        <v>1</v>
      </c>
      <c r="H58" s="3">
        <f t="shared" si="0"/>
        <v>13340714.27166</v>
      </c>
      <c r="I58" s="3">
        <v>13380.83</v>
      </c>
    </row>
    <row r="59" spans="1:9" ht="12.75" x14ac:dyDescent="0.35">
      <c r="A59" s="2">
        <v>2016</v>
      </c>
      <c r="B59" s="2" t="s">
        <v>14</v>
      </c>
      <c r="C59" s="3">
        <f>(48853*I59)/1000</f>
        <v>650151.84548999998</v>
      </c>
      <c r="D59" s="3">
        <f>(686634*I59)/1000</f>
        <v>9137951.8612199984</v>
      </c>
      <c r="E59" s="3">
        <f>(98270*I59)/1000</f>
        <v>1307809.5891</v>
      </c>
      <c r="F59" s="3">
        <f>(1344715*I59)/1000</f>
        <v>17895910.975949999</v>
      </c>
      <c r="G59" s="2">
        <v>0</v>
      </c>
      <c r="H59" s="3">
        <f t="shared" si="0"/>
        <v>11095913.295809997</v>
      </c>
      <c r="I59" s="3">
        <v>13308.33</v>
      </c>
    </row>
    <row r="60" spans="1:9" ht="12.75" x14ac:dyDescent="0.35">
      <c r="A60" s="2">
        <v>2015</v>
      </c>
      <c r="B60" s="2" t="s">
        <v>14</v>
      </c>
      <c r="C60" s="3">
        <f>(53610*I60)/1000</f>
        <v>717806.27010000008</v>
      </c>
      <c r="D60" s="3">
        <f>(793227*I60)/1000</f>
        <v>10620841.526070001</v>
      </c>
      <c r="E60" s="3">
        <f>(175345*I60)/1000</f>
        <v>2347766.0964499996</v>
      </c>
      <c r="F60" s="3">
        <f>(1321823*I60)/1000</f>
        <v>17698430.09443</v>
      </c>
      <c r="G60" s="2">
        <v>0</v>
      </c>
      <c r="H60" s="3">
        <f t="shared" si="0"/>
        <v>13686413.892619999</v>
      </c>
      <c r="I60" s="3">
        <v>13389.41</v>
      </c>
    </row>
    <row r="61" spans="1:9" ht="12.75" x14ac:dyDescent="0.35">
      <c r="A61" s="2">
        <v>2024</v>
      </c>
      <c r="B61" s="2" t="s">
        <v>15</v>
      </c>
      <c r="C61" s="3">
        <v>137815.52700474003</v>
      </c>
      <c r="D61" s="3">
        <f>(220011921*I61)/1000000</f>
        <v>3488388.0128194503</v>
      </c>
      <c r="E61" s="3">
        <f t="shared" ref="E61:E66" si="1">C61*4</f>
        <v>551262.10801896011</v>
      </c>
      <c r="F61" s="3">
        <f>(344678707*I61)/1000000</f>
        <v>5465036.0049031507</v>
      </c>
      <c r="G61" s="2">
        <v>1</v>
      </c>
      <c r="H61" s="3"/>
      <c r="I61" s="3">
        <v>15855.45</v>
      </c>
    </row>
    <row r="62" spans="1:9" ht="12.75" x14ac:dyDescent="0.35">
      <c r="A62" s="2">
        <v>2023</v>
      </c>
      <c r="B62" s="2" t="s">
        <v>15</v>
      </c>
      <c r="C62" s="3">
        <v>127776.85355462399</v>
      </c>
      <c r="D62" s="3">
        <f>(259032260*I62)/1000000</f>
        <v>3946843.4617487998</v>
      </c>
      <c r="E62" s="3">
        <f t="shared" si="1"/>
        <v>511107.41421849595</v>
      </c>
      <c r="F62" s="3">
        <f>(339302689*I62)/1000000</f>
        <v>5169914.3559703194</v>
      </c>
      <c r="G62" s="2">
        <v>0</v>
      </c>
      <c r="H62" s="3"/>
      <c r="I62" s="3">
        <v>15236.88</v>
      </c>
    </row>
    <row r="63" spans="1:9" ht="12.75" x14ac:dyDescent="0.35">
      <c r="A63" s="2">
        <v>2022</v>
      </c>
      <c r="B63" s="2" t="s">
        <v>15</v>
      </c>
      <c r="C63" s="3">
        <v>121144</v>
      </c>
      <c r="D63" s="3">
        <f>(282012370*I63)/1000000</f>
        <v>4187841.3926444999</v>
      </c>
      <c r="E63" s="3">
        <f t="shared" si="1"/>
        <v>484576</v>
      </c>
      <c r="F63" s="3">
        <f>(412076520*I63)/1000000</f>
        <v>6119274.5105219996</v>
      </c>
      <c r="G63" s="2">
        <v>0</v>
      </c>
      <c r="H63" s="3"/>
      <c r="I63" s="3">
        <v>14849.85</v>
      </c>
    </row>
    <row r="64" spans="1:9" ht="12.75" x14ac:dyDescent="0.35">
      <c r="A64" s="2">
        <v>2021</v>
      </c>
      <c r="B64" s="2" t="s">
        <v>15</v>
      </c>
      <c r="C64" s="3">
        <v>122621</v>
      </c>
      <c r="D64" s="3">
        <f>(238603830*I64)/1000000</f>
        <v>3413977.0041761999</v>
      </c>
      <c r="E64" s="3">
        <f t="shared" si="1"/>
        <v>490484</v>
      </c>
      <c r="F64" s="3">
        <f>(371080905*I64)/1000000</f>
        <v>5309477.5400667004</v>
      </c>
      <c r="G64" s="2">
        <v>0</v>
      </c>
      <c r="H64" s="3"/>
      <c r="I64" s="3">
        <v>14308.14</v>
      </c>
    </row>
    <row r="65" spans="1:9" ht="12.75" x14ac:dyDescent="0.35">
      <c r="A65" s="2">
        <v>2020</v>
      </c>
      <c r="B65" s="2" t="s">
        <v>15</v>
      </c>
      <c r="C65" s="3">
        <v>144309</v>
      </c>
      <c r="D65" s="3">
        <f>(186274664*I65)/1000000</f>
        <v>2716294.4053808004</v>
      </c>
      <c r="E65" s="3">
        <f t="shared" si="1"/>
        <v>577236</v>
      </c>
      <c r="F65" s="3">
        <f>(324957368*I65)/1000000</f>
        <v>4738593.3316496005</v>
      </c>
      <c r="G65" s="2">
        <v>0</v>
      </c>
      <c r="H65" s="3"/>
      <c r="I65" s="3">
        <v>14582.2</v>
      </c>
    </row>
    <row r="66" spans="1:9" ht="12.75" x14ac:dyDescent="0.35">
      <c r="A66" s="2">
        <v>2019</v>
      </c>
      <c r="B66" s="2" t="s">
        <v>15</v>
      </c>
      <c r="C66" s="3">
        <v>148585</v>
      </c>
      <c r="D66" s="3">
        <f>(216876092*I66)/1000000</f>
        <v>3068291.3805056401</v>
      </c>
      <c r="E66" s="3">
        <f t="shared" si="1"/>
        <v>594340</v>
      </c>
      <c r="F66" s="3">
        <f>(322098564*I66)/1000000</f>
        <v>4556944.1909458796</v>
      </c>
      <c r="G66" s="2">
        <v>0</v>
      </c>
      <c r="H66" s="3"/>
      <c r="I66" s="3">
        <v>14147.67</v>
      </c>
    </row>
    <row r="67" spans="1:9" ht="12.75" x14ac:dyDescent="0.35">
      <c r="A67" s="2">
        <v>2024</v>
      </c>
      <c r="B67" s="2" t="s">
        <v>16</v>
      </c>
      <c r="C67" s="3">
        <v>64010</v>
      </c>
      <c r="D67" s="3">
        <v>76292</v>
      </c>
      <c r="E67" s="3">
        <f>1052337+130426</f>
        <v>1182763</v>
      </c>
      <c r="F67" s="3">
        <v>2907675</v>
      </c>
      <c r="G67" s="2">
        <v>1</v>
      </c>
    </row>
    <row r="68" spans="1:9" ht="12.75" x14ac:dyDescent="0.35">
      <c r="A68" s="2">
        <v>2023</v>
      </c>
      <c r="B68" s="2" t="s">
        <v>16</v>
      </c>
      <c r="C68" s="3">
        <v>61243</v>
      </c>
      <c r="D68" s="3">
        <v>102944</v>
      </c>
      <c r="E68" s="3">
        <f>1043850+107411</f>
        <v>1151261</v>
      </c>
      <c r="F68" s="3">
        <v>2822745</v>
      </c>
      <c r="G68" s="2">
        <v>0</v>
      </c>
    </row>
    <row r="69" spans="1:9" ht="12.75" x14ac:dyDescent="0.35">
      <c r="A69" s="2">
        <v>2022</v>
      </c>
      <c r="B69" s="2" t="s">
        <v>16</v>
      </c>
      <c r="C69" s="3">
        <v>59865</v>
      </c>
      <c r="D69" s="3">
        <v>112564</v>
      </c>
      <c r="E69" s="3">
        <v>944577</v>
      </c>
      <c r="F69" s="3">
        <v>2612464</v>
      </c>
      <c r="G69" s="2">
        <v>0</v>
      </c>
    </row>
    <row r="70" spans="1:9" ht="12.75" x14ac:dyDescent="0.35">
      <c r="A70" s="2">
        <v>2021</v>
      </c>
      <c r="B70" s="2" t="s">
        <v>16</v>
      </c>
      <c r="C70" s="3">
        <v>56657</v>
      </c>
      <c r="D70" s="3">
        <v>33293</v>
      </c>
      <c r="E70" s="3">
        <v>949036</v>
      </c>
      <c r="F70" s="3">
        <v>2738813</v>
      </c>
      <c r="G70" s="2">
        <v>0</v>
      </c>
    </row>
    <row r="71" spans="1:9" ht="12.75" x14ac:dyDescent="0.35">
      <c r="A71" s="2">
        <v>2020</v>
      </c>
      <c r="B71" s="2" t="s">
        <v>16</v>
      </c>
      <c r="C71" s="3">
        <v>52323</v>
      </c>
      <c r="D71" s="3">
        <v>36492</v>
      </c>
      <c r="E71" s="3">
        <v>659812</v>
      </c>
      <c r="F71" s="3">
        <v>2188179</v>
      </c>
      <c r="G71" s="2">
        <v>0</v>
      </c>
    </row>
    <row r="72" spans="1:9" ht="12.75" x14ac:dyDescent="0.35">
      <c r="A72" s="2">
        <v>2019</v>
      </c>
      <c r="B72" s="2" t="s">
        <v>16</v>
      </c>
      <c r="C72" s="3">
        <v>53568</v>
      </c>
      <c r="D72" s="3">
        <v>61407</v>
      </c>
      <c r="E72" s="3">
        <v>674247</v>
      </c>
      <c r="F72" s="3">
        <v>2203617</v>
      </c>
      <c r="G72" s="2">
        <v>0</v>
      </c>
    </row>
    <row r="73" spans="1:9" ht="12.75" x14ac:dyDescent="0.35">
      <c r="A73" s="2">
        <v>2018</v>
      </c>
      <c r="B73" s="2" t="s">
        <v>16</v>
      </c>
      <c r="C73" s="3">
        <v>48739</v>
      </c>
      <c r="D73" s="3">
        <v>54007</v>
      </c>
      <c r="E73" s="3">
        <v>651470</v>
      </c>
      <c r="F73" s="3">
        <v>2073258</v>
      </c>
      <c r="G73" s="2">
        <v>0</v>
      </c>
    </row>
    <row r="74" spans="1:9" ht="12.75" x14ac:dyDescent="0.35">
      <c r="A74" s="2">
        <v>2017</v>
      </c>
      <c r="B74" s="2" t="s">
        <v>16</v>
      </c>
      <c r="C74" s="3">
        <v>45242</v>
      </c>
      <c r="D74" s="3">
        <v>68784</v>
      </c>
      <c r="E74" s="3">
        <v>607755</v>
      </c>
      <c r="F74" s="3">
        <v>1838417</v>
      </c>
      <c r="G74" s="2">
        <v>0</v>
      </c>
    </row>
    <row r="75" spans="1:9" ht="12.75" x14ac:dyDescent="0.35">
      <c r="A75" s="2">
        <v>2016</v>
      </c>
      <c r="B75" s="2" t="s">
        <v>16</v>
      </c>
      <c r="C75" s="3">
        <v>40009</v>
      </c>
      <c r="D75" s="3">
        <v>99681</v>
      </c>
      <c r="E75" s="3">
        <v>557982</v>
      </c>
      <c r="F75" s="3">
        <v>1651136</v>
      </c>
      <c r="G75" s="2">
        <v>0</v>
      </c>
    </row>
    <row r="76" spans="1:9" ht="12.75" x14ac:dyDescent="0.35">
      <c r="A76" s="2">
        <v>2015</v>
      </c>
      <c r="B76" s="2" t="s">
        <v>16</v>
      </c>
      <c r="C76" s="3">
        <v>29286</v>
      </c>
      <c r="D76" s="3">
        <v>110108</v>
      </c>
      <c r="E76" s="3">
        <v>548277</v>
      </c>
      <c r="F76" s="3">
        <v>1426441</v>
      </c>
      <c r="G76" s="2">
        <v>0</v>
      </c>
    </row>
    <row r="77" spans="1:9" ht="12.75" x14ac:dyDescent="0.35">
      <c r="A77" s="2">
        <v>2024</v>
      </c>
      <c r="B77" s="2" t="s">
        <v>17</v>
      </c>
      <c r="C77" s="3">
        <f>(7924228*I77)/1000000</f>
        <v>125642.20084260001</v>
      </c>
      <c r="D77" s="3">
        <f>((137007465)*I77)/1000000</f>
        <v>2172315.01093425</v>
      </c>
      <c r="E77" s="3">
        <f>((34065325)*I77)/1000000</f>
        <v>540121.05727125006</v>
      </c>
      <c r="F77" s="3">
        <f>(189579309*I77)/1000000</f>
        <v>3005865.2548840502</v>
      </c>
      <c r="G77" s="2">
        <v>1</v>
      </c>
      <c r="I77" s="3">
        <v>15855.45</v>
      </c>
    </row>
    <row r="78" spans="1:9" ht="12.75" x14ac:dyDescent="0.35">
      <c r="A78" s="2">
        <v>2023</v>
      </c>
      <c r="B78" s="2" t="s">
        <v>17</v>
      </c>
      <c r="C78" s="3">
        <f>(8362587*I78)/1000000</f>
        <v>127419.73460856</v>
      </c>
      <c r="D78" s="3">
        <f>((147146788)*I78)/1000000</f>
        <v>2242057.9511414398</v>
      </c>
      <c r="E78" s="3">
        <f>((34751750)*I78)/1000000</f>
        <v>529508.24453999999</v>
      </c>
      <c r="F78" s="3">
        <f>(196072753*I78)/1000000</f>
        <v>2987537.0087306397</v>
      </c>
      <c r="G78" s="2">
        <v>0</v>
      </c>
      <c r="I78" s="3">
        <v>15236.88</v>
      </c>
    </row>
    <row r="79" spans="1:9" ht="12.75" x14ac:dyDescent="0.35">
      <c r="A79" s="2">
        <v>2022</v>
      </c>
      <c r="B79" s="2" t="s">
        <v>17</v>
      </c>
      <c r="C79" s="3">
        <f>(7298173*I79)/1000000</f>
        <v>108376.77432405</v>
      </c>
      <c r="D79" s="3">
        <f>((176973297)*I79)/1000000</f>
        <v>2628026.9144554501</v>
      </c>
      <c r="E79" s="3">
        <f>((43011053)*I79)/1000000</f>
        <v>638707.68539205007</v>
      </c>
      <c r="F79" s="3">
        <f>(225468149*I79)/1000000</f>
        <v>3348168.1924276501</v>
      </c>
      <c r="G79" s="2">
        <v>0</v>
      </c>
      <c r="I79" s="3">
        <v>14849.85</v>
      </c>
    </row>
    <row r="80" spans="1:9" ht="12.75" x14ac:dyDescent="0.35">
      <c r="A80" s="2">
        <v>2021</v>
      </c>
      <c r="B80" s="2" t="s">
        <v>17</v>
      </c>
      <c r="C80" s="3">
        <f>(6411109*I80)/1000000</f>
        <v>91731.045127259989</v>
      </c>
      <c r="D80" s="3">
        <f>((154227390)*I80)/1000000</f>
        <v>2206707.0879545999</v>
      </c>
      <c r="E80" s="3">
        <f>((34947109)*I80)/1000000</f>
        <v>500028.12816726003</v>
      </c>
      <c r="F80" s="3">
        <f>(214250936*I80)/1000000</f>
        <v>3065532.3874190398</v>
      </c>
      <c r="G80" s="2">
        <v>0</v>
      </c>
      <c r="I80" s="3">
        <v>14308.14</v>
      </c>
    </row>
    <row r="81" spans="1:9" ht="12.75" x14ac:dyDescent="0.35">
      <c r="A81" s="2">
        <v>2024</v>
      </c>
      <c r="B81" s="2" t="s">
        <v>18</v>
      </c>
      <c r="C81" s="3">
        <f>(10722728*I81)/1000000</f>
        <v>170013.67766760002</v>
      </c>
      <c r="D81" s="3">
        <f>((120595561+16521873)*I81)/1000000</f>
        <v>2174058.6189152999</v>
      </c>
      <c r="E81" s="3">
        <f>((26896325)*I81)/1000000</f>
        <v>426453.33622125001</v>
      </c>
      <c r="F81" s="3">
        <f>(191999590*I81)/1000000</f>
        <v>3044239.8992654998</v>
      </c>
      <c r="G81" s="2">
        <v>1</v>
      </c>
      <c r="I81" s="3">
        <v>15855.45</v>
      </c>
    </row>
    <row r="82" spans="1:9" ht="12.75" x14ac:dyDescent="0.35">
      <c r="A82" s="2">
        <v>2023</v>
      </c>
      <c r="B82" s="2" t="s">
        <v>18</v>
      </c>
      <c r="C82" s="3">
        <f>(12240712*I82)/1000000</f>
        <v>186510.25985855999</v>
      </c>
      <c r="D82" s="3">
        <f>((201340723+31725763)*I82)/1000000</f>
        <v>3551206.0792036797</v>
      </c>
      <c r="E82" s="3">
        <f>((40837880)*I82)/1000000</f>
        <v>622241.87701439997</v>
      </c>
      <c r="F82" s="3">
        <f>(291198704*I82)/1000000</f>
        <v>4436959.7090035193</v>
      </c>
      <c r="G82" s="2">
        <v>0</v>
      </c>
      <c r="I82" s="3">
        <v>15236.88</v>
      </c>
    </row>
    <row r="83" spans="1:9" ht="12.75" x14ac:dyDescent="0.35">
      <c r="A83" s="2">
        <v>2022</v>
      </c>
      <c r="B83" s="2" t="s">
        <v>18</v>
      </c>
      <c r="C83" s="3">
        <f>(12845559*I83)/1000000</f>
        <v>190754.62431615</v>
      </c>
      <c r="D83" s="3">
        <f>((268755625+37858230)*I83)/1000000</f>
        <v>4553169.7546717497</v>
      </c>
      <c r="E83" s="3">
        <f>((49784316)*I83)/1000000</f>
        <v>739289.62495259999</v>
      </c>
      <c r="F83" s="3">
        <f>(396980964*I83)/1000000</f>
        <v>5895107.7682554005</v>
      </c>
      <c r="G83" s="2">
        <v>0</v>
      </c>
      <c r="I83" s="3">
        <v>14849.85</v>
      </c>
    </row>
    <row r="84" spans="1:9" ht="12.75" x14ac:dyDescent="0.35">
      <c r="A84" s="2">
        <v>2021</v>
      </c>
      <c r="B84" s="2" t="s">
        <v>18</v>
      </c>
      <c r="C84" s="3">
        <f>(11213534*I84)/1000000</f>
        <v>160444.81436675997</v>
      </c>
      <c r="D84" s="3">
        <f>((229139540+37243984)*I84)/1000000</f>
        <v>3811452.7550853598</v>
      </c>
      <c r="E84" s="3">
        <f>((55605818)*I84)/1000000</f>
        <v>795615.82875852007</v>
      </c>
      <c r="F84" s="3">
        <f>(372973845*I84)/1000000</f>
        <v>5336561.9905982995</v>
      </c>
      <c r="G84" s="2">
        <v>0</v>
      </c>
      <c r="I84" s="3">
        <v>14308.14</v>
      </c>
    </row>
    <row r="85" spans="1:9" ht="12.75" x14ac:dyDescent="0.35">
      <c r="A85" s="2">
        <v>2020</v>
      </c>
      <c r="B85" s="2" t="s">
        <v>18</v>
      </c>
      <c r="C85" s="3">
        <f>(9715762*I85)/1000000</f>
        <v>141677.18463639999</v>
      </c>
      <c r="D85" s="3">
        <f>((146843408+34766288)*I85)/1000000</f>
        <v>2648268.9090112001</v>
      </c>
      <c r="E85" s="3">
        <f>((52703276)*I85)/1000000</f>
        <v>768529.7112872001</v>
      </c>
      <c r="F85" s="3">
        <f>(260960780*I85)/1000000</f>
        <v>3805382.2861159998</v>
      </c>
      <c r="G85" s="2">
        <v>0</v>
      </c>
      <c r="I85" s="3">
        <v>14582.2</v>
      </c>
    </row>
    <row r="86" spans="1:9" ht="12.75" x14ac:dyDescent="0.35">
      <c r="A86" s="2">
        <v>2019</v>
      </c>
      <c r="B86" s="2" t="s">
        <v>18</v>
      </c>
      <c r="C86" s="3">
        <f>(10450421*I86)/1000000</f>
        <v>147849.10766907001</v>
      </c>
      <c r="D86" s="3">
        <f>((260521281+39610549)*I86)/1000000</f>
        <v>4246166.0873360997</v>
      </c>
      <c r="E86" s="3">
        <f>((65845784)*I86)/1000000</f>
        <v>931564.42292328004</v>
      </c>
      <c r="F86" s="3">
        <f>(400534862*I86)/1000000</f>
        <v>5666635.0510715405</v>
      </c>
      <c r="G86" s="2">
        <v>0</v>
      </c>
      <c r="I86" s="3">
        <v>14147.67</v>
      </c>
    </row>
    <row r="87" spans="1:9" ht="12.75" x14ac:dyDescent="0.35">
      <c r="A87" s="2">
        <v>2024</v>
      </c>
      <c r="B87" s="2" t="s">
        <v>19</v>
      </c>
      <c r="C87" s="3">
        <f>(1682263*I87)/1000000</f>
        <v>26673.036883350003</v>
      </c>
      <c r="D87" s="3">
        <f>((76288314)*I87)/1000000</f>
        <v>1209585.5482113</v>
      </c>
      <c r="E87" s="3">
        <f>((25998845)*I87)/1000000</f>
        <v>412223.38695525</v>
      </c>
      <c r="F87" s="3">
        <f>(109676008*I87)/1000000</f>
        <v>1738962.4610436</v>
      </c>
      <c r="G87" s="2">
        <v>1</v>
      </c>
      <c r="I87" s="3">
        <v>15855.45</v>
      </c>
    </row>
    <row r="88" spans="1:9" ht="12.75" x14ac:dyDescent="0.35">
      <c r="A88" s="2">
        <v>2023</v>
      </c>
      <c r="B88" s="2" t="s">
        <v>19</v>
      </c>
      <c r="C88" s="3">
        <f>(1697112*I88)/1000000</f>
        <v>25858.691890559996</v>
      </c>
      <c r="D88" s="3">
        <f>((75328360)*I88)/1000000</f>
        <v>1147769.1819168001</v>
      </c>
      <c r="E88" s="3">
        <f>((28923307)*I88)/1000000</f>
        <v>440700.95796216</v>
      </c>
      <c r="F88" s="3">
        <f>(104802680*I88)/1000000</f>
        <v>1596865.8588383999</v>
      </c>
      <c r="G88" s="2">
        <v>0</v>
      </c>
      <c r="I88" s="3">
        <v>15236.88</v>
      </c>
    </row>
    <row r="89" spans="1:9" ht="12.75" x14ac:dyDescent="0.35">
      <c r="A89" s="2">
        <v>2022</v>
      </c>
      <c r="B89" s="2" t="s">
        <v>19</v>
      </c>
      <c r="C89" s="3">
        <f>(1220191*I89)/1000000</f>
        <v>18119.653321350001</v>
      </c>
      <c r="D89" s="3">
        <f>((112665250)*I89)/1000000</f>
        <v>1673062.0627125001</v>
      </c>
      <c r="E89" s="3">
        <f>((45297070)*I89)/1000000</f>
        <v>672654.69493949995</v>
      </c>
      <c r="F89" s="3">
        <f>(142773920*I89)/1000000</f>
        <v>2120171.2959119999</v>
      </c>
      <c r="G89" s="2">
        <v>0</v>
      </c>
      <c r="I89" s="3">
        <v>14849.85</v>
      </c>
    </row>
    <row r="90" spans="1:9" ht="12.75" x14ac:dyDescent="0.35">
      <c r="A90" s="2">
        <v>2021</v>
      </c>
      <c r="B90" s="2" t="s">
        <v>19</v>
      </c>
      <c r="C90" s="3">
        <f>(2201877*I90)/1000000</f>
        <v>31504.764378779997</v>
      </c>
      <c r="D90" s="3">
        <f>((146340038)*I90)/1000000</f>
        <v>2093853.7513093199</v>
      </c>
      <c r="E90" s="3">
        <f>((41624144)*I90)/1000000</f>
        <v>595564.07973216008</v>
      </c>
      <c r="F90" s="3">
        <f>(190192551*I90)/1000000</f>
        <v>2721301.6466651396</v>
      </c>
      <c r="G90" s="2">
        <v>0</v>
      </c>
      <c r="I90" s="3">
        <v>14308.14</v>
      </c>
    </row>
    <row r="91" spans="1:9" ht="12.75" x14ac:dyDescent="0.35">
      <c r="A91" s="2">
        <v>2020</v>
      </c>
      <c r="B91" s="2" t="s">
        <v>19</v>
      </c>
      <c r="C91" s="3">
        <f>(2629106*I91)/1000000</f>
        <v>38338.149513200005</v>
      </c>
      <c r="D91" s="3">
        <f>((108712940)*I91)/1000000</f>
        <v>1585273.8336680001</v>
      </c>
      <c r="E91" s="3">
        <f>((45508135)*I91)/1000000</f>
        <v>663608.72619700001</v>
      </c>
      <c r="F91" s="3">
        <f>(152712749*I91)/1000000</f>
        <v>2226887.8484678003</v>
      </c>
      <c r="G91" s="2">
        <v>0</v>
      </c>
      <c r="I91" s="3">
        <v>14582.2</v>
      </c>
    </row>
    <row r="92" spans="1:9" ht="12.75" x14ac:dyDescent="0.35">
      <c r="A92" s="2">
        <v>2019</v>
      </c>
      <c r="B92" s="2" t="s">
        <v>19</v>
      </c>
      <c r="C92" s="3">
        <f>(3438174*I92)/1000000</f>
        <v>48642.151154580002</v>
      </c>
      <c r="D92" s="3">
        <f>((183070421)*I92)/1000000</f>
        <v>2590019.9030690696</v>
      </c>
      <c r="E92" s="3">
        <f>((65678159)*I92)/1000000</f>
        <v>929192.91973953007</v>
      </c>
      <c r="F92" s="3">
        <f>(233390689*I92)/1000000</f>
        <v>3301934.4490446299</v>
      </c>
      <c r="G92" s="2">
        <v>0</v>
      </c>
      <c r="I92" s="3">
        <v>14147.67</v>
      </c>
    </row>
    <row r="93" spans="1:9" ht="12.75" x14ac:dyDescent="0.35">
      <c r="A93" s="2">
        <v>2018</v>
      </c>
      <c r="B93" s="2" t="s">
        <v>19</v>
      </c>
      <c r="C93" s="3">
        <f>(3232644*I93)/1000000</f>
        <v>46022.958669359999</v>
      </c>
      <c r="D93" s="3">
        <f>((274173372)*I93)/1000000</f>
        <v>3903389.8467616802</v>
      </c>
      <c r="E93" s="3">
        <f>((72389281)*I93)/1000000</f>
        <v>1030601.85024014</v>
      </c>
      <c r="F93" s="3">
        <f>(356636089*I93)/1000000</f>
        <v>5077406.6009276602</v>
      </c>
      <c r="G93" s="2">
        <v>0</v>
      </c>
      <c r="I93" s="3">
        <v>14236.94</v>
      </c>
    </row>
    <row r="94" spans="1:9" ht="12.75" x14ac:dyDescent="0.35">
      <c r="A94" s="2">
        <v>2017</v>
      </c>
      <c r="B94" s="2" t="s">
        <v>19</v>
      </c>
      <c r="C94" s="3">
        <f>(2968505*I94)/1000000</f>
        <v>39721.060759150001</v>
      </c>
      <c r="D94" s="3">
        <f>((233019465)*I94)/1000000</f>
        <v>3117993.8478559502</v>
      </c>
      <c r="E94" s="3">
        <f>((63039075)*I94)/1000000</f>
        <v>843515.14593224996</v>
      </c>
      <c r="F94" s="3">
        <f>(318584810*I94)/1000000</f>
        <v>4262929.1831922997</v>
      </c>
      <c r="G94" s="2">
        <v>0</v>
      </c>
      <c r="I94" s="3">
        <v>13380.83</v>
      </c>
    </row>
    <row r="95" spans="1:9" ht="12.75" x14ac:dyDescent="0.35">
      <c r="A95" s="2">
        <v>2016</v>
      </c>
      <c r="B95" s="2" t="s">
        <v>19</v>
      </c>
      <c r="C95" s="3">
        <f>(3660867*I95)/1000000</f>
        <v>48720.026122110001</v>
      </c>
      <c r="D95" s="3">
        <f>((222725878)*I95)/1000000</f>
        <v>2964109.4839637396</v>
      </c>
      <c r="E95" s="3">
        <f>((73111690)*I95)/1000000</f>
        <v>972994.49737769994</v>
      </c>
      <c r="F95" s="3">
        <f>(246472460*I95)/1000000</f>
        <v>3280136.8335917997</v>
      </c>
      <c r="G95" s="2">
        <v>0</v>
      </c>
      <c r="I95" s="3">
        <v>13308.33</v>
      </c>
    </row>
    <row r="96" spans="1:9" ht="12.75" x14ac:dyDescent="0.35">
      <c r="A96" s="2">
        <v>2015</v>
      </c>
      <c r="B96" s="2" t="s">
        <v>19</v>
      </c>
      <c r="C96" s="3">
        <f>(3459385*I96)/1000000</f>
        <v>46319.124112849997</v>
      </c>
      <c r="D96" s="3">
        <f>((228878059)*I96)/1000000</f>
        <v>3064542.1719551901</v>
      </c>
      <c r="E96" s="3">
        <f>((73914228)*I96)/1000000</f>
        <v>989667.90352547995</v>
      </c>
      <c r="F96" s="3">
        <f>(261888354*I96)/1000000</f>
        <v>3506530.54593114</v>
      </c>
      <c r="G96" s="2">
        <v>0</v>
      </c>
      <c r="I96" s="3">
        <v>13389.41</v>
      </c>
    </row>
    <row r="97" spans="1:9" ht="12.75" x14ac:dyDescent="0.35">
      <c r="A97" s="2">
        <v>2024</v>
      </c>
      <c r="B97" s="2" t="s">
        <v>20</v>
      </c>
      <c r="C97" s="3">
        <f>(43879*I97)/1000</f>
        <v>695721.29055000003</v>
      </c>
      <c r="D97" s="3">
        <f>((1321654)*I97)/1000</f>
        <v>20955418.914299998</v>
      </c>
      <c r="E97" s="3">
        <f>((180314)*I97)/1000</f>
        <v>2858959.6113</v>
      </c>
      <c r="F97" s="3">
        <f>((1785364*I97)/1000)</f>
        <v>28307749.633800004</v>
      </c>
      <c r="G97" s="2">
        <v>1</v>
      </c>
      <c r="I97" s="3">
        <v>15855.45</v>
      </c>
    </row>
    <row r="98" spans="1:9" ht="12.75" x14ac:dyDescent="0.35">
      <c r="A98" s="2">
        <v>2023</v>
      </c>
      <c r="B98" s="2" t="s">
        <v>20</v>
      </c>
      <c r="C98" s="3">
        <f>(48330*I98)/1000</f>
        <v>736398.41039999994</v>
      </c>
      <c r="D98" s="3">
        <f>((1717186)*I98)/1000</f>
        <v>26164557.019680001</v>
      </c>
      <c r="E98" s="3">
        <f>((228089)*I98)/1000</f>
        <v>3475364.7223199997</v>
      </c>
      <c r="F98" s="3">
        <f>((2159932*I98)/1000)</f>
        <v>32910624.692159999</v>
      </c>
      <c r="G98" s="2">
        <v>0</v>
      </c>
      <c r="I98" s="3">
        <v>15236.88</v>
      </c>
    </row>
    <row r="99" spans="1:9" ht="12.75" x14ac:dyDescent="0.35">
      <c r="A99" s="2">
        <v>2022</v>
      </c>
      <c r="B99" s="2" t="s">
        <v>20</v>
      </c>
      <c r="C99" s="3">
        <f>(48980*I99)/1000</f>
        <v>727345.65300000005</v>
      </c>
      <c r="D99" s="3">
        <f>((1830763)*I99)/1000</f>
        <v>27186555.935550001</v>
      </c>
      <c r="E99" s="3">
        <f>((294235)*I99)/1000</f>
        <v>4369345.6147499997</v>
      </c>
      <c r="F99" s="3">
        <f>((2384591*I99)/1000)</f>
        <v>35410818.661349997</v>
      </c>
      <c r="G99" s="2">
        <v>0</v>
      </c>
      <c r="I99" s="3">
        <v>14849.85</v>
      </c>
    </row>
    <row r="100" spans="1:9" ht="12.75" x14ac:dyDescent="0.35">
      <c r="A100" s="2">
        <v>2021</v>
      </c>
      <c r="B100" s="2" t="s">
        <v>20</v>
      </c>
      <c r="C100" s="3">
        <f>(45785*I100)/1000</f>
        <v>655098.1899</v>
      </c>
      <c r="D100" s="3">
        <f>((1825944)*I100)/1000</f>
        <v>26125862.384160001</v>
      </c>
      <c r="E100" s="3">
        <f>((279401)*I100)/1000</f>
        <v>3997708.62414</v>
      </c>
      <c r="F100" s="3">
        <f>((2580425*I100)/1000)</f>
        <v>36921082.159500003</v>
      </c>
      <c r="G100" s="2">
        <v>0</v>
      </c>
      <c r="I100" s="3">
        <v>14308.14</v>
      </c>
    </row>
    <row r="101" spans="1:9" ht="12.75" x14ac:dyDescent="0.35">
      <c r="A101" s="2">
        <v>2020</v>
      </c>
      <c r="B101" s="2" t="s">
        <v>20</v>
      </c>
      <c r="C101" s="3">
        <f>(48482*I101)/1000</f>
        <v>706974.22039999999</v>
      </c>
      <c r="D101" s="3">
        <f>((1194029)*I101)/1000</f>
        <v>17411569.683800001</v>
      </c>
      <c r="E101" s="3">
        <f>((210430)*I101)/1000</f>
        <v>3068532.3459999999</v>
      </c>
      <c r="F101" s="3">
        <f>((1806444*I101)/1000)</f>
        <v>26341927.696800005</v>
      </c>
      <c r="G101" s="2">
        <v>0</v>
      </c>
      <c r="I101" s="3">
        <v>14582.2</v>
      </c>
    </row>
    <row r="102" spans="1:9" ht="12.75" x14ac:dyDescent="0.35">
      <c r="A102" s="2">
        <v>2019</v>
      </c>
      <c r="B102" s="2" t="s">
        <v>20</v>
      </c>
      <c r="C102" s="3">
        <f>(58392*I102)/1000</f>
        <v>826110.74664000003</v>
      </c>
      <c r="D102" s="3">
        <f>((1258397)*I102)/1000</f>
        <v>17803385.484990001</v>
      </c>
      <c r="E102" s="3">
        <f>((293560)*I102)/1000</f>
        <v>4153190.0052</v>
      </c>
      <c r="F102" s="3">
        <f>((1880989*I102)/1000)</f>
        <v>26611611.645630002</v>
      </c>
      <c r="G102" s="2">
        <v>0</v>
      </c>
      <c r="I102" s="3">
        <v>14147.67</v>
      </c>
    </row>
    <row r="103" spans="1:9" ht="12.75" x14ac:dyDescent="0.35">
      <c r="A103" s="2">
        <v>2018</v>
      </c>
      <c r="B103" s="2" t="s">
        <v>20</v>
      </c>
      <c r="C103" s="3">
        <f>(54796*I103)/1000</f>
        <v>780127.36424000002</v>
      </c>
      <c r="D103" s="3">
        <f>((1621280)*I103)/1000</f>
        <v>23082066.0832</v>
      </c>
      <c r="E103" s="3">
        <f>((326948)*I103)/1000</f>
        <v>4654739.0591200003</v>
      </c>
      <c r="F103" s="3">
        <f>((2543219*I103)/1000)</f>
        <v>36207656.309859999</v>
      </c>
      <c r="G103" s="2">
        <v>0</v>
      </c>
      <c r="I103" s="3">
        <v>14236.94</v>
      </c>
    </row>
    <row r="104" spans="1:9" ht="12.75" x14ac:dyDescent="0.35">
      <c r="A104" s="2">
        <v>2017</v>
      </c>
      <c r="B104" s="2" t="s">
        <v>20</v>
      </c>
      <c r="C104" s="3">
        <f>(47316*I104)/1000</f>
        <v>633127.35227999999</v>
      </c>
      <c r="D104" s="3">
        <f>((1397455)*I104)/1000</f>
        <v>18699107.78765</v>
      </c>
      <c r="E104" s="3">
        <f>((292731)*I104)/1000</f>
        <v>3916983.7467300002</v>
      </c>
      <c r="F104" s="3">
        <f>((2418509*I104)/1000)</f>
        <v>32361657.782470003</v>
      </c>
      <c r="G104" s="2">
        <v>0</v>
      </c>
      <c r="I104" s="3">
        <v>13380.83</v>
      </c>
    </row>
    <row r="105" spans="1:9" ht="12.75" x14ac:dyDescent="0.35">
      <c r="A105" s="2">
        <v>2016</v>
      </c>
      <c r="B105" s="2" t="s">
        <v>20</v>
      </c>
      <c r="C105" s="3">
        <f>(34154*I105)/1000</f>
        <v>454532.70282000001</v>
      </c>
      <c r="D105" s="3">
        <f>((1014975)*I105)/1000</f>
        <v>13507622.24175</v>
      </c>
      <c r="E105" s="3">
        <f>((272799)*I105)/1000</f>
        <v>3630499.1156700002</v>
      </c>
      <c r="F105" s="3">
        <f>((1930336*I105)/1000)</f>
        <v>25689548.498880003</v>
      </c>
      <c r="G105" s="2">
        <v>0</v>
      </c>
      <c r="I105" s="3">
        <v>13308.33</v>
      </c>
    </row>
    <row r="106" spans="1:9" ht="12.75" x14ac:dyDescent="0.35">
      <c r="A106" s="2">
        <v>2015</v>
      </c>
      <c r="B106" s="2" t="s">
        <v>20</v>
      </c>
      <c r="C106" s="3">
        <f>(27435*I106)/1000</f>
        <v>367338.46335000003</v>
      </c>
      <c r="D106" s="3">
        <f>((701364)*I106)/1000</f>
        <v>9390850.1552399993</v>
      </c>
      <c r="E106" s="3">
        <f>((216175)*I106)/1000</f>
        <v>2894455.7067499999</v>
      </c>
      <c r="F106" s="3">
        <f>((1377573*I106)/1000)</f>
        <v>18444889.701930001</v>
      </c>
      <c r="G106" s="2">
        <v>0</v>
      </c>
      <c r="I106" s="3">
        <v>13389.41</v>
      </c>
    </row>
    <row r="107" spans="1:9" ht="12.75" x14ac:dyDescent="0.35">
      <c r="A107" s="2">
        <v>2024</v>
      </c>
      <c r="B107" s="2" t="s">
        <v>21</v>
      </c>
      <c r="C107" s="3">
        <f>(7087931*I107)/1000000</f>
        <v>112382.33557395001</v>
      </c>
      <c r="D107" s="3">
        <f>((111412693)*I107)/1000000</f>
        <v>1766498.3832268501</v>
      </c>
      <c r="E107" s="3">
        <f>((71041223)*I107)/1000000</f>
        <v>1126390.5592153501</v>
      </c>
      <c r="F107" s="3">
        <f>((230915213*I107)/1000000)</f>
        <v>3661264.6139608501</v>
      </c>
      <c r="G107" s="2">
        <v>1</v>
      </c>
      <c r="I107" s="3">
        <v>15855.45</v>
      </c>
    </row>
    <row r="108" spans="1:9" ht="12.75" x14ac:dyDescent="0.35">
      <c r="A108" s="2">
        <v>2023</v>
      </c>
      <c r="B108" s="2" t="s">
        <v>21</v>
      </c>
      <c r="C108" s="3">
        <f>(8436918*I108)/1000000</f>
        <v>128552.30713583999</v>
      </c>
      <c r="D108" s="3">
        <f>((125464959)*I108)/1000000</f>
        <v>1911694.5244879199</v>
      </c>
      <c r="E108" s="3">
        <f>((74164248)*I108)/1000000</f>
        <v>1130031.7470662401</v>
      </c>
      <c r="F108" s="3">
        <f>((251962129*I108)/1000000)</f>
        <v>3839116.7241175198</v>
      </c>
      <c r="G108" s="2">
        <v>0</v>
      </c>
      <c r="I108" s="3">
        <v>15236.88</v>
      </c>
    </row>
    <row r="109" spans="1:9" ht="12.75" x14ac:dyDescent="0.35">
      <c r="A109" s="2">
        <v>2022</v>
      </c>
      <c r="B109" s="2" t="s">
        <v>21</v>
      </c>
      <c r="C109" s="3">
        <f>(8286252*I109)/1000000</f>
        <v>123049.59926219999</v>
      </c>
      <c r="D109" s="3">
        <f>((183974056)*I109)/1000000</f>
        <v>2731987.1354916003</v>
      </c>
      <c r="E109" s="3">
        <f>((76787760)*I109)/1000000</f>
        <v>1140286.717836</v>
      </c>
      <c r="F109" s="3">
        <f>((335234244*I109)/1000000)</f>
        <v>4978178.2382634003</v>
      </c>
      <c r="G109" s="2">
        <v>0</v>
      </c>
      <c r="I109" s="3">
        <v>14849.85</v>
      </c>
    </row>
    <row r="110" spans="1:9" ht="12.75" x14ac:dyDescent="0.35">
      <c r="A110" s="2">
        <v>2021</v>
      </c>
      <c r="B110" s="2" t="s">
        <v>21</v>
      </c>
      <c r="C110" s="3">
        <f>(8098489*I110)/1000000</f>
        <v>115874.31440045999</v>
      </c>
      <c r="D110" s="3">
        <f>((138886651)*I110)/1000000</f>
        <v>1987209.6466391399</v>
      </c>
      <c r="E110" s="3">
        <f>((72757885)*I110)/1000000</f>
        <v>1041030.0046838999</v>
      </c>
      <c r="F110" s="3">
        <f>((259766696*I110)/1000000)</f>
        <v>3716778.2537054401</v>
      </c>
      <c r="G110" s="2">
        <v>0</v>
      </c>
      <c r="I110" s="3">
        <v>14308.14</v>
      </c>
    </row>
    <row r="111" spans="1:9" ht="12.75" x14ac:dyDescent="0.35">
      <c r="A111" s="2">
        <v>2020</v>
      </c>
      <c r="B111" s="2" t="s">
        <v>21</v>
      </c>
      <c r="C111" s="3">
        <f>(7758018*I111)/1000000</f>
        <v>113128.97007960001</v>
      </c>
      <c r="D111" s="3">
        <f>((84520257)*I111)/1000000</f>
        <v>1232491.2916254001</v>
      </c>
      <c r="E111" s="3">
        <f>((62018859)*I111)/1000000</f>
        <v>904371.40570980008</v>
      </c>
      <c r="F111" s="3">
        <f>((168492294*I111)/1000000)</f>
        <v>2456988.3295668005</v>
      </c>
      <c r="G111" s="2">
        <v>0</v>
      </c>
      <c r="I111" s="3">
        <v>14582.2</v>
      </c>
    </row>
    <row r="112" spans="1:9" ht="12.75" x14ac:dyDescent="0.35">
      <c r="A112" s="2">
        <v>2019</v>
      </c>
      <c r="B112" s="2" t="s">
        <v>21</v>
      </c>
      <c r="C112" s="3">
        <f>(11694573*I112)/1000000</f>
        <v>165450.95959491</v>
      </c>
      <c r="D112" s="3">
        <f>((126032744)*I112)/1000000</f>
        <v>1783069.67130648</v>
      </c>
      <c r="E112" s="3">
        <f>((68772259)*I112)/1000000</f>
        <v>972967.22548652999</v>
      </c>
      <c r="F112" s="3">
        <f>((245619303*I112)/1000000)</f>
        <v>3474940.8444740102</v>
      </c>
      <c r="G112" s="2">
        <v>0</v>
      </c>
      <c r="I112" s="3">
        <v>14147.67</v>
      </c>
    </row>
    <row r="113" spans="1:9" ht="12.75" x14ac:dyDescent="0.35">
      <c r="A113" s="2">
        <v>2018</v>
      </c>
      <c r="B113" s="2" t="s">
        <v>21</v>
      </c>
      <c r="C113" s="3">
        <f>(11370740*I113)/1000000</f>
        <v>161884.54313560002</v>
      </c>
      <c r="D113" s="3">
        <f>((136138025)*I113)/1000000</f>
        <v>1938188.8936435001</v>
      </c>
      <c r="E113" s="3">
        <f>((73794299)*I113)/1000000</f>
        <v>1050605.00720506</v>
      </c>
      <c r="F113" s="3">
        <f>((264440260*I113)/1000000)</f>
        <v>3764820.1152043999</v>
      </c>
      <c r="G113" s="2">
        <v>0</v>
      </c>
      <c r="I113" s="3">
        <v>14236.94</v>
      </c>
    </row>
    <row r="114" spans="1:9" ht="12.75" x14ac:dyDescent="0.35">
      <c r="A114" s="2">
        <v>2017</v>
      </c>
      <c r="B114" s="2" t="s">
        <v>21</v>
      </c>
      <c r="C114" s="3">
        <f>(10915377*I114)/1000000</f>
        <v>146056.80402291002</v>
      </c>
      <c r="D114" s="3">
        <f>((112793614)*I114)/1000000</f>
        <v>1509272.1740196198</v>
      </c>
      <c r="E114" s="3">
        <f>((71440495)*I114)/1000000</f>
        <v>955933.11871085002</v>
      </c>
      <c r="F114" s="3">
        <f>((241782757*I114)/1000000)</f>
        <v>3235253.9683483099</v>
      </c>
      <c r="G114" s="2">
        <v>0</v>
      </c>
      <c r="I114" s="3">
        <v>13380.83</v>
      </c>
    </row>
    <row r="115" spans="1:9" ht="12.75" x14ac:dyDescent="0.35">
      <c r="A115" s="2">
        <v>2016</v>
      </c>
      <c r="B115" s="2" t="s">
        <v>21</v>
      </c>
      <c r="C115" s="3">
        <f>(10358599*I115)/1000000</f>
        <v>137855.65382967002</v>
      </c>
      <c r="D115" s="3">
        <f>((95721476)*I115)/1000000</f>
        <v>1273892.99069508</v>
      </c>
      <c r="E115" s="3">
        <f>((68430824)*I115)/1000000</f>
        <v>910699.98796391999</v>
      </c>
      <c r="F115" s="3">
        <f>((220298959*I115)/1000000)</f>
        <v>2931811.2450284702</v>
      </c>
      <c r="G115" s="2">
        <v>0</v>
      </c>
      <c r="I115" s="3">
        <v>13308.33</v>
      </c>
    </row>
    <row r="116" spans="1:9" ht="12.75" x14ac:dyDescent="0.35">
      <c r="A116" s="2">
        <v>2015</v>
      </c>
      <c r="B116" s="2" t="s">
        <v>21</v>
      </c>
      <c r="C116" s="3">
        <f>(9178466*I116)/1000000</f>
        <v>122894.24444506</v>
      </c>
      <c r="D116" s="3">
        <f>((100923540)*I116)/1000000</f>
        <v>1351306.6557113999</v>
      </c>
      <c r="E116" s="3">
        <f>((62711165)*I116)/1000000</f>
        <v>839665.49976265</v>
      </c>
      <c r="F116" s="3">
        <f>((207866547*I116)/1000000)</f>
        <v>2783210.4230672698</v>
      </c>
      <c r="G116" s="2">
        <v>0</v>
      </c>
      <c r="I116" s="3">
        <v>13389.41</v>
      </c>
    </row>
    <row r="117" spans="1:9" ht="12.75" x14ac:dyDescent="0.35">
      <c r="A117" s="2">
        <v>2024</v>
      </c>
      <c r="B117" s="2" t="s">
        <v>22</v>
      </c>
      <c r="C117" s="3">
        <f>(2231252*I117)/1000000</f>
        <v>35377.504523399999</v>
      </c>
      <c r="D117" s="3">
        <f>((240052420)*I117)/1000000</f>
        <v>3806139.1426889999</v>
      </c>
      <c r="E117" s="3">
        <f>((16153760)*I117)/1000000</f>
        <v>256125.13399199999</v>
      </c>
      <c r="F117" s="3">
        <f>((283609944*I117)/1000000)</f>
        <v>4496763.2865947997</v>
      </c>
      <c r="G117" s="2">
        <v>1</v>
      </c>
      <c r="I117" s="3">
        <v>15855.45</v>
      </c>
    </row>
    <row r="118" spans="1:9" ht="12.75" x14ac:dyDescent="0.35">
      <c r="A118" s="2">
        <v>2023</v>
      </c>
      <c r="B118" s="2" t="s">
        <v>22</v>
      </c>
      <c r="C118" s="3">
        <f>(1829558*I118)/1000000</f>
        <v>27876.755699039997</v>
      </c>
      <c r="D118" s="3">
        <f>((218065663)*I118)/1000000</f>
        <v>3322640.33925144</v>
      </c>
      <c r="E118" s="3">
        <f>((17095154)*I118)/1000000</f>
        <v>260476.81007951999</v>
      </c>
      <c r="F118" s="3">
        <f>((267319458*I118)/1000000)</f>
        <v>4073114.5032110396</v>
      </c>
      <c r="G118" s="2">
        <v>0</v>
      </c>
      <c r="I118" s="3">
        <v>15236.88</v>
      </c>
    </row>
    <row r="119" spans="1:9" ht="12.75" x14ac:dyDescent="0.35">
      <c r="A119" s="2">
        <v>2022</v>
      </c>
      <c r="B119" s="2" t="s">
        <v>22</v>
      </c>
      <c r="C119" s="3">
        <f>(1680170*I119)/1000000</f>
        <v>24950.272474500001</v>
      </c>
      <c r="D119" s="3">
        <f>((229235704)*I119)/1000000</f>
        <v>3404115.8190444</v>
      </c>
      <c r="E119" s="3">
        <f>((17435738)*I119)/1000000</f>
        <v>258918.09393930002</v>
      </c>
      <c r="F119" s="3">
        <f>((271573321*I119)/1000000)</f>
        <v>4032823.0808518501</v>
      </c>
      <c r="G119" s="2">
        <v>0</v>
      </c>
      <c r="I119" s="3">
        <v>14849.85</v>
      </c>
    </row>
    <row r="120" spans="1:9" ht="12.75" x14ac:dyDescent="0.35">
      <c r="A120" s="2">
        <v>2021</v>
      </c>
      <c r="B120" s="2" t="s">
        <v>22</v>
      </c>
      <c r="C120" s="3">
        <f>(1778871*I120)/1000000</f>
        <v>25452.335309939997</v>
      </c>
      <c r="D120" s="3">
        <f>((244035498)*I120)/1000000</f>
        <v>3491694.0703537199</v>
      </c>
      <c r="E120" s="3">
        <f>((17994941)*I120)/1000000</f>
        <v>257474.13511973998</v>
      </c>
      <c r="F120" s="3">
        <f>((317998294*I120)/1000000)</f>
        <v>4549964.1103131603</v>
      </c>
      <c r="G120" s="2">
        <v>0</v>
      </c>
      <c r="I120" s="3">
        <v>14308.14</v>
      </c>
    </row>
    <row r="121" spans="1:9" ht="12.75" x14ac:dyDescent="0.35">
      <c r="A121" s="2">
        <v>2020</v>
      </c>
      <c r="B121" s="2" t="s">
        <v>22</v>
      </c>
      <c r="C121" s="3">
        <f>(1173163*I121)/1000000</f>
        <v>17107.297498600001</v>
      </c>
      <c r="D121" s="3">
        <f>((196080538)*I121)/1000000</f>
        <v>2859285.6212236001</v>
      </c>
      <c r="E121" s="3">
        <f>((16872695)*I121)/1000000</f>
        <v>246041.01302899999</v>
      </c>
      <c r="F121" s="3">
        <f>((240132462*I121)/1000000)</f>
        <v>3501659.5873764004</v>
      </c>
      <c r="G121" s="2">
        <v>0</v>
      </c>
      <c r="I121" s="3">
        <v>14582.2</v>
      </c>
    </row>
    <row r="122" spans="1:9" ht="12.75" x14ac:dyDescent="0.35">
      <c r="A122" s="2">
        <v>2019</v>
      </c>
      <c r="B122" s="2" t="s">
        <v>22</v>
      </c>
      <c r="C122" s="3">
        <f>(1397529*I122)/1000000</f>
        <v>19771.77910743</v>
      </c>
      <c r="D122" s="3">
        <f>((207591884)*I122)/1000000</f>
        <v>2936941.4695102796</v>
      </c>
      <c r="E122" s="3">
        <f>((19003017)*I122)/1000000</f>
        <v>268848.41352038999</v>
      </c>
      <c r="F122" s="3">
        <f>((242701543*I122)/1000000)</f>
        <v>3433661.3388548102</v>
      </c>
      <c r="G122" s="2">
        <v>0</v>
      </c>
      <c r="I122" s="3">
        <v>14147.67</v>
      </c>
    </row>
    <row r="123" spans="1:9" ht="12.75" x14ac:dyDescent="0.35">
      <c r="A123" s="2">
        <v>2024</v>
      </c>
      <c r="B123" s="2" t="s">
        <v>23</v>
      </c>
      <c r="C123" s="3">
        <v>148695.58119</v>
      </c>
      <c r="D123" s="3">
        <f>((331059)*I123)/1000</f>
        <v>5249089.4215500001</v>
      </c>
      <c r="E123" s="3">
        <f t="shared" ref="E123:E132" si="2">C123*4</f>
        <v>594782.32475999999</v>
      </c>
      <c r="F123" s="3">
        <f>((367977*I123)/1000)</f>
        <v>5834440.9246500004</v>
      </c>
      <c r="G123" s="2">
        <v>1</v>
      </c>
      <c r="I123" s="3">
        <v>15855.45</v>
      </c>
    </row>
    <row r="124" spans="1:9" ht="12.75" x14ac:dyDescent="0.35">
      <c r="A124" s="2">
        <v>2023</v>
      </c>
      <c r="B124" s="2" t="s">
        <v>23</v>
      </c>
      <c r="C124" s="3">
        <v>140100</v>
      </c>
      <c r="D124" s="3">
        <f>((309125)*I124)/1000</f>
        <v>4710100.53</v>
      </c>
      <c r="E124" s="3">
        <f t="shared" si="2"/>
        <v>560400</v>
      </c>
      <c r="F124" s="3">
        <f>((376213*I124)/1000)</f>
        <v>5732312.3354399996</v>
      </c>
      <c r="G124" s="2">
        <v>0</v>
      </c>
      <c r="I124" s="3">
        <v>15236.88</v>
      </c>
    </row>
    <row r="125" spans="1:9" ht="12.75" x14ac:dyDescent="0.35">
      <c r="A125" s="2">
        <v>2022</v>
      </c>
      <c r="B125" s="2" t="s">
        <v>23</v>
      </c>
      <c r="C125" s="3">
        <v>143966</v>
      </c>
      <c r="D125" s="3">
        <f>((402269)*I125)/1000</f>
        <v>5973634.3096500002</v>
      </c>
      <c r="E125" s="3">
        <f t="shared" si="2"/>
        <v>575864</v>
      </c>
      <c r="F125" s="3">
        <f>((473879*I125)/1000)</f>
        <v>7037032.0681500006</v>
      </c>
      <c r="G125" s="2">
        <v>0</v>
      </c>
      <c r="I125" s="3">
        <v>14849.85</v>
      </c>
    </row>
    <row r="126" spans="1:9" ht="12.75" x14ac:dyDescent="0.35">
      <c r="A126" s="2">
        <v>2021</v>
      </c>
      <c r="B126" s="2" t="s">
        <v>23</v>
      </c>
      <c r="C126" s="3">
        <v>136806</v>
      </c>
      <c r="D126" s="3">
        <f>((333838)*I126)/1000</f>
        <v>4776600.8413199997</v>
      </c>
      <c r="E126" s="3">
        <f t="shared" si="2"/>
        <v>547224</v>
      </c>
      <c r="F126" s="3">
        <f>((412096*I126)/1000)</f>
        <v>5896327.2614399996</v>
      </c>
      <c r="G126" s="2">
        <v>0</v>
      </c>
      <c r="I126" s="3">
        <v>14308.14</v>
      </c>
    </row>
    <row r="127" spans="1:9" ht="12.75" x14ac:dyDescent="0.35">
      <c r="A127" s="2">
        <v>2020</v>
      </c>
      <c r="B127" s="2" t="s">
        <v>23</v>
      </c>
      <c r="C127" s="3">
        <v>146989</v>
      </c>
      <c r="D127" s="3">
        <f>((247928)*I127)/1000</f>
        <v>3615335.6816000002</v>
      </c>
      <c r="E127" s="3">
        <f t="shared" si="2"/>
        <v>587956</v>
      </c>
      <c r="F127" s="3">
        <f>((309367*I127)/1000)</f>
        <v>4511251.4674000004</v>
      </c>
      <c r="G127" s="2">
        <v>0</v>
      </c>
      <c r="H127" s="3"/>
      <c r="I127" s="3">
        <v>14582.2</v>
      </c>
    </row>
    <row r="128" spans="1:9" ht="12.75" x14ac:dyDescent="0.35">
      <c r="A128" s="2">
        <v>2019</v>
      </c>
      <c r="B128" s="2" t="s">
        <v>23</v>
      </c>
      <c r="C128" s="3">
        <v>136067</v>
      </c>
      <c r="D128" s="3">
        <f>((258134)*I128)/1000</f>
        <v>3651994.6477800002</v>
      </c>
      <c r="E128" s="3">
        <f t="shared" si="2"/>
        <v>544268</v>
      </c>
      <c r="F128" s="3">
        <f>((331945*I128)/1000)</f>
        <v>4696248.3181499997</v>
      </c>
      <c r="G128" s="2">
        <v>0</v>
      </c>
      <c r="H128" s="3"/>
      <c r="I128" s="3">
        <v>14147.67</v>
      </c>
    </row>
    <row r="129" spans="1:9" ht="12.75" x14ac:dyDescent="0.35">
      <c r="A129" s="2">
        <v>2018</v>
      </c>
      <c r="B129" s="2" t="s">
        <v>23</v>
      </c>
      <c r="C129" s="3">
        <v>133935</v>
      </c>
      <c r="D129" s="3">
        <f>((326461)*I129)/1000</f>
        <v>4647805.6693400005</v>
      </c>
      <c r="E129" s="3">
        <f t="shared" si="2"/>
        <v>535740</v>
      </c>
      <c r="F129" s="3">
        <f>((433868*I129)/1000)</f>
        <v>6176952.6839199997</v>
      </c>
      <c r="G129" s="2">
        <v>0</v>
      </c>
      <c r="H129" s="3"/>
      <c r="I129" s="3">
        <v>14236.94</v>
      </c>
    </row>
    <row r="130" spans="1:9" ht="12.75" x14ac:dyDescent="0.35">
      <c r="A130" s="2">
        <v>2017</v>
      </c>
      <c r="B130" s="2" t="s">
        <v>23</v>
      </c>
      <c r="C130" s="3">
        <v>139476</v>
      </c>
      <c r="D130" s="3">
        <f>((358764)*I130)/1000</f>
        <v>4800560.0941199996</v>
      </c>
      <c r="E130" s="3">
        <f t="shared" si="2"/>
        <v>557904</v>
      </c>
      <c r="F130" s="3">
        <f>((433346*I130)/1000)</f>
        <v>5798529.1571800001</v>
      </c>
      <c r="G130" s="2">
        <v>0</v>
      </c>
      <c r="H130" s="3"/>
      <c r="I130" s="3">
        <v>13380.83</v>
      </c>
    </row>
    <row r="131" spans="1:9" ht="12.75" x14ac:dyDescent="0.35">
      <c r="A131" s="2">
        <v>2016</v>
      </c>
      <c r="B131" s="2" t="s">
        <v>23</v>
      </c>
      <c r="C131" s="3">
        <v>147190</v>
      </c>
      <c r="D131" s="3">
        <f>((356598)*I131)/1000</f>
        <v>4745723.8613400003</v>
      </c>
      <c r="E131" s="3">
        <f t="shared" si="2"/>
        <v>588760</v>
      </c>
      <c r="F131" s="3">
        <f>((441825*I131)/1000)</f>
        <v>5879952.9022500003</v>
      </c>
      <c r="G131" s="2">
        <v>0</v>
      </c>
      <c r="H131" s="3"/>
      <c r="I131" s="3">
        <v>13308.33</v>
      </c>
    </row>
    <row r="132" spans="1:9" ht="12.75" x14ac:dyDescent="0.35">
      <c r="A132" s="2">
        <v>2015</v>
      </c>
      <c r="B132" s="2" t="s">
        <v>23</v>
      </c>
      <c r="C132" s="3">
        <v>130665</v>
      </c>
      <c r="D132" s="3">
        <f>((348485)*I132)/1000</f>
        <v>4666008.54385</v>
      </c>
      <c r="E132" s="3">
        <f t="shared" si="2"/>
        <v>522660</v>
      </c>
      <c r="F132" s="3">
        <f>((457333*I132)/1000)</f>
        <v>6123419.0435299994</v>
      </c>
      <c r="G132" s="2">
        <v>0</v>
      </c>
      <c r="H132" s="3"/>
      <c r="I132" s="3">
        <v>13389.41</v>
      </c>
    </row>
    <row r="133" spans="1:9" ht="12.75" x14ac:dyDescent="0.35">
      <c r="A133" s="2">
        <v>2024</v>
      </c>
      <c r="B133" s="2" t="s">
        <v>24</v>
      </c>
      <c r="C133" s="3">
        <v>18616</v>
      </c>
      <c r="D133" s="3">
        <v>141383</v>
      </c>
      <c r="E133" s="3">
        <v>132750</v>
      </c>
      <c r="F133" s="3">
        <v>344469</v>
      </c>
      <c r="G133" s="2">
        <v>1</v>
      </c>
    </row>
    <row r="134" spans="1:9" ht="12.75" x14ac:dyDescent="0.35">
      <c r="A134" s="2">
        <v>2023</v>
      </c>
      <c r="B134" s="2" t="s">
        <v>24</v>
      </c>
      <c r="C134" s="3">
        <v>21631</v>
      </c>
      <c r="D134" s="3">
        <v>200388</v>
      </c>
      <c r="E134" s="3">
        <v>162358</v>
      </c>
      <c r="F134" s="3">
        <v>470700</v>
      </c>
      <c r="G134" s="2">
        <v>0</v>
      </c>
    </row>
    <row r="135" spans="1:9" ht="12.75" x14ac:dyDescent="0.35">
      <c r="A135" s="2">
        <v>2022</v>
      </c>
      <c r="B135" s="2" t="s">
        <v>24</v>
      </c>
      <c r="C135" s="3">
        <v>19899</v>
      </c>
      <c r="D135" s="3">
        <v>199360</v>
      </c>
      <c r="E135" s="3">
        <v>160795</v>
      </c>
      <c r="F135" s="3">
        <v>486876</v>
      </c>
      <c r="G135" s="2">
        <v>0</v>
      </c>
    </row>
    <row r="136" spans="1:9" ht="12.75" x14ac:dyDescent="0.35">
      <c r="A136" s="2">
        <v>2021</v>
      </c>
      <c r="B136" s="2" t="s">
        <v>24</v>
      </c>
      <c r="C136" s="3">
        <v>17562</v>
      </c>
      <c r="D136" s="3">
        <v>144024</v>
      </c>
      <c r="E136" s="3">
        <v>154222</v>
      </c>
      <c r="F136" s="3">
        <v>397308</v>
      </c>
      <c r="G136" s="2">
        <v>0</v>
      </c>
    </row>
    <row r="137" spans="1:9" ht="12.75" x14ac:dyDescent="0.35">
      <c r="A137" s="2">
        <v>2020</v>
      </c>
      <c r="B137" s="2" t="s">
        <v>24</v>
      </c>
      <c r="C137" s="3">
        <v>12852</v>
      </c>
      <c r="D137" s="3">
        <v>109872</v>
      </c>
      <c r="E137" s="3">
        <v>134344</v>
      </c>
      <c r="F137" s="3">
        <v>349983</v>
      </c>
      <c r="G137" s="2">
        <v>0</v>
      </c>
    </row>
    <row r="138" spans="1:9" ht="12.75" x14ac:dyDescent="0.35">
      <c r="A138" s="2">
        <v>2019</v>
      </c>
      <c r="B138" s="2" t="s">
        <v>24</v>
      </c>
      <c r="C138" s="3">
        <v>12913</v>
      </c>
      <c r="D138" s="3">
        <v>123026</v>
      </c>
      <c r="E138" s="3">
        <v>146981</v>
      </c>
      <c r="F138" s="3">
        <v>349579</v>
      </c>
      <c r="G138" s="2">
        <v>0</v>
      </c>
    </row>
    <row r="139" spans="1:9" ht="12.75" x14ac:dyDescent="0.35">
      <c r="A139" s="2">
        <v>2018</v>
      </c>
      <c r="B139" s="2" t="s">
        <v>24</v>
      </c>
      <c r="C139" s="3">
        <v>13445</v>
      </c>
      <c r="D139" s="3">
        <v>138179</v>
      </c>
      <c r="E139" s="3">
        <v>159644</v>
      </c>
      <c r="F139" s="3">
        <v>399193</v>
      </c>
      <c r="G139" s="2">
        <v>0</v>
      </c>
    </row>
    <row r="140" spans="1:9" ht="12.75" x14ac:dyDescent="0.35">
      <c r="A140" s="2">
        <v>2017</v>
      </c>
      <c r="B140" s="2" t="s">
        <v>24</v>
      </c>
      <c r="C140" s="3">
        <v>11407</v>
      </c>
      <c r="D140" s="3">
        <v>117225</v>
      </c>
      <c r="E140" s="3">
        <v>163358</v>
      </c>
      <c r="F140" s="3">
        <v>368174</v>
      </c>
      <c r="G140" s="2">
        <v>0</v>
      </c>
    </row>
    <row r="141" spans="1:9" ht="12.75" x14ac:dyDescent="0.35">
      <c r="A141" s="2">
        <v>2016</v>
      </c>
      <c r="B141" s="2" t="s">
        <v>24</v>
      </c>
      <c r="C141" s="3">
        <v>8397</v>
      </c>
      <c r="D141" s="3">
        <v>96522</v>
      </c>
      <c r="E141" s="3">
        <v>119441</v>
      </c>
      <c r="F141" s="3">
        <v>340008</v>
      </c>
      <c r="G141" s="2">
        <v>0</v>
      </c>
    </row>
    <row r="142" spans="1:9" ht="12.75" x14ac:dyDescent="0.35">
      <c r="A142" s="2">
        <v>2015</v>
      </c>
      <c r="B142" s="2" t="s">
        <v>24</v>
      </c>
      <c r="C142" s="3">
        <v>10798</v>
      </c>
      <c r="D142" s="3">
        <v>121174</v>
      </c>
      <c r="E142" s="3">
        <v>144294</v>
      </c>
      <c r="F142" s="3">
        <v>304390</v>
      </c>
      <c r="G142" s="2">
        <v>0</v>
      </c>
    </row>
    <row r="143" spans="1:9" ht="12.75" x14ac:dyDescent="0.35">
      <c r="A143" s="2">
        <v>2024</v>
      </c>
      <c r="B143" s="2" t="s">
        <v>25</v>
      </c>
      <c r="C143" s="3">
        <f>139706+24287</f>
        <v>163993</v>
      </c>
      <c r="D143" s="3">
        <f>7566704+458651+5329075+69467</f>
        <v>13423897</v>
      </c>
      <c r="E143" s="3">
        <f>468632+503642+370173+209273</f>
        <v>1551720</v>
      </c>
      <c r="F143" s="3">
        <v>17410560</v>
      </c>
      <c r="G143" s="2">
        <v>1</v>
      </c>
    </row>
    <row r="144" spans="1:9" ht="12.75" x14ac:dyDescent="0.35">
      <c r="A144" s="2">
        <v>2023</v>
      </c>
      <c r="B144" s="2" t="s">
        <v>25</v>
      </c>
      <c r="C144" s="3">
        <f>149187+23510</f>
        <v>172697</v>
      </c>
      <c r="D144" s="3">
        <f>6405578+470940+4208583+60063</f>
        <v>11145164</v>
      </c>
      <c r="E144" s="3">
        <f>515582+468766+304810+175911</f>
        <v>1465069</v>
      </c>
      <c r="F144" s="3">
        <v>15317617</v>
      </c>
      <c r="G144" s="2">
        <v>0</v>
      </c>
    </row>
    <row r="145" spans="1:9" ht="12.75" x14ac:dyDescent="0.35">
      <c r="A145" s="2">
        <v>2022</v>
      </c>
      <c r="B145" s="2" t="s">
        <v>25</v>
      </c>
      <c r="C145" s="3">
        <f>110510+21907</f>
        <v>132417</v>
      </c>
      <c r="D145" s="3">
        <f>8475967+407139+3467427+88120</f>
        <v>12438653</v>
      </c>
      <c r="E145" s="3">
        <f>560587+435536+187827+322534</f>
        <v>1506484</v>
      </c>
      <c r="F145" s="3">
        <v>16579960</v>
      </c>
      <c r="G145" s="2">
        <v>0</v>
      </c>
    </row>
    <row r="146" spans="1:9" ht="12.75" x14ac:dyDescent="0.35">
      <c r="A146" s="2">
        <v>2021</v>
      </c>
      <c r="B146" s="2" t="s">
        <v>25</v>
      </c>
      <c r="C146" s="3">
        <f>123448+14584</f>
        <v>138032</v>
      </c>
      <c r="D146" s="3">
        <f>8091546+436457+2991124+36942</f>
        <v>11556069</v>
      </c>
      <c r="E146" s="3">
        <f>551213+398004+106397+285329</f>
        <v>1340943</v>
      </c>
      <c r="F146" s="3">
        <v>15972216</v>
      </c>
      <c r="G146" s="2">
        <v>0</v>
      </c>
    </row>
    <row r="147" spans="1:9" ht="12.75" x14ac:dyDescent="0.35">
      <c r="A147" s="2">
        <v>2020</v>
      </c>
      <c r="B147" s="2" t="s">
        <v>25</v>
      </c>
      <c r="C147" s="3">
        <f>113521+20318</f>
        <v>133839</v>
      </c>
      <c r="D147" s="3">
        <f>4766873+389590+1953537+59430</f>
        <v>7169430</v>
      </c>
      <c r="E147" s="3">
        <f>447661+349337+136168+312986</f>
        <v>1246152</v>
      </c>
      <c r="F147" s="3">
        <v>10863256</v>
      </c>
      <c r="G147" s="2">
        <v>0</v>
      </c>
    </row>
    <row r="148" spans="1:9" ht="12.75" x14ac:dyDescent="0.35">
      <c r="A148" s="2">
        <v>2019</v>
      </c>
      <c r="B148" s="2" t="s">
        <v>25</v>
      </c>
      <c r="C148" s="3">
        <f>75801+14883</f>
        <v>90684</v>
      </c>
      <c r="D148" s="3">
        <f>3456031+365196+1627071+46213</f>
        <v>5494511</v>
      </c>
      <c r="E148" s="3">
        <f>386464+315992+107238+282577</f>
        <v>1092271</v>
      </c>
      <c r="F148" s="3">
        <v>8533183</v>
      </c>
      <c r="G148" s="2">
        <v>0</v>
      </c>
    </row>
    <row r="149" spans="1:9" ht="12.75" x14ac:dyDescent="0.35">
      <c r="A149" s="2">
        <v>2018</v>
      </c>
      <c r="B149" s="2" t="s">
        <v>25</v>
      </c>
      <c r="C149" s="3">
        <f>83581+15812</f>
        <v>99393</v>
      </c>
      <c r="D149" s="3">
        <f>3731593+303424+1159777+27437</f>
        <v>5222231</v>
      </c>
      <c r="E149" s="3">
        <f>362762+346399+94189+179079</f>
        <v>982429</v>
      </c>
      <c r="F149" s="3">
        <v>8614889</v>
      </c>
      <c r="G149" s="2">
        <v>0</v>
      </c>
    </row>
    <row r="150" spans="1:9" ht="12.75" x14ac:dyDescent="0.35">
      <c r="A150" s="2">
        <v>2017</v>
      </c>
      <c r="B150" s="2" t="s">
        <v>25</v>
      </c>
      <c r="C150" s="3">
        <f>76756+27789</f>
        <v>104545</v>
      </c>
      <c r="D150" s="3">
        <f>3225042+222486+1636975+13428</f>
        <v>5097931</v>
      </c>
      <c r="E150" s="3">
        <f>361644+304026+118001+79806</f>
        <v>863477</v>
      </c>
      <c r="F150" s="3">
        <v>8974708</v>
      </c>
      <c r="G150" s="2">
        <v>0</v>
      </c>
    </row>
    <row r="151" spans="1:9" ht="12.75" x14ac:dyDescent="0.35">
      <c r="A151" s="2">
        <v>2016</v>
      </c>
      <c r="B151" s="2" t="s">
        <v>25</v>
      </c>
      <c r="C151" s="3">
        <f>72058+5382</f>
        <v>77440</v>
      </c>
      <c r="D151" s="3">
        <f>3012782+169445+2212695+3542</f>
        <v>5398464</v>
      </c>
      <c r="E151" s="3">
        <f>220346+234991+41316+131585</f>
        <v>628238</v>
      </c>
      <c r="F151" s="3">
        <v>6513980</v>
      </c>
      <c r="G151" s="2">
        <v>0</v>
      </c>
    </row>
    <row r="152" spans="1:9" ht="12.75" x14ac:dyDescent="0.35">
      <c r="A152" s="2">
        <v>2015</v>
      </c>
      <c r="B152" s="2" t="s">
        <v>25</v>
      </c>
      <c r="C152" s="3">
        <f>120712</f>
        <v>120712</v>
      </c>
      <c r="D152" s="3">
        <f>2816262+167845</f>
        <v>2984107</v>
      </c>
      <c r="E152" s="3">
        <f>236490+209219</f>
        <v>445709</v>
      </c>
      <c r="F152" s="3">
        <v>5331404</v>
      </c>
      <c r="G152" s="2">
        <v>0</v>
      </c>
    </row>
    <row r="153" spans="1:9" ht="12.75" x14ac:dyDescent="0.35">
      <c r="A153" s="2">
        <v>2024</v>
      </c>
      <c r="B153" s="2" t="s">
        <v>26</v>
      </c>
      <c r="C153" s="3">
        <f>((9097982+59975)*I153)/1000000</f>
        <v>145203.52931565</v>
      </c>
      <c r="D153" s="3">
        <f>((169714252+3211946)*I153)/1000000</f>
        <v>2741822.6860791002</v>
      </c>
      <c r="E153" s="3">
        <f>((25391817)*I153)/1000000</f>
        <v>402598.68485265004</v>
      </c>
      <c r="F153" s="3">
        <f>((253917*I153)/1000)</f>
        <v>4025968.2976500001</v>
      </c>
      <c r="G153" s="2">
        <v>1</v>
      </c>
      <c r="I153" s="3">
        <v>15855.45</v>
      </c>
    </row>
    <row r="154" spans="1:9" ht="12.75" x14ac:dyDescent="0.35">
      <c r="A154" s="2">
        <v>2023</v>
      </c>
      <c r="B154" s="2" t="s">
        <v>26</v>
      </c>
      <c r="C154" s="3">
        <f>((8293395+48121)*I154)/1000000</f>
        <v>127098.67831007998</v>
      </c>
      <c r="D154" s="3">
        <f>((154148877+4460880)*I154)/1000000</f>
        <v>2416717.8342381595</v>
      </c>
      <c r="E154" s="3">
        <f>((24727708+425669)*I154)/1000000</f>
        <v>383258.98694376001</v>
      </c>
      <c r="F154" s="3">
        <f>((208666*I154)/1000)</f>
        <v>3179418.8020799998</v>
      </c>
      <c r="G154" s="2">
        <v>0</v>
      </c>
      <c r="I154" s="3">
        <v>15236.88</v>
      </c>
    </row>
    <row r="155" spans="1:9" ht="12.75" x14ac:dyDescent="0.35">
      <c r="A155" s="2">
        <v>2022</v>
      </c>
      <c r="B155" s="2" t="s">
        <v>26</v>
      </c>
      <c r="C155" s="3">
        <f>((3708581*I155)/1000000)</f>
        <v>55071.871562849999</v>
      </c>
      <c r="D155" s="3">
        <f>((89654092+3438224)*I155)/1000000</f>
        <v>1382406.9287526</v>
      </c>
      <c r="E155" s="3">
        <f>((24020333+64209)*I155)/1000000</f>
        <v>357651.83601870004</v>
      </c>
      <c r="F155" s="3">
        <f>((129216*I155)/1000)</f>
        <v>1918838.2176000001</v>
      </c>
      <c r="G155" s="2">
        <v>0</v>
      </c>
      <c r="I155" s="3">
        <v>14849.85</v>
      </c>
    </row>
    <row r="156" spans="1:9" ht="12.75" x14ac:dyDescent="0.35">
      <c r="A156" s="2">
        <v>2021</v>
      </c>
      <c r="B156" s="2" t="s">
        <v>26</v>
      </c>
      <c r="C156" s="3">
        <f>((3850517*I156)/1000000)</f>
        <v>55093.736308379994</v>
      </c>
      <c r="D156" s="3">
        <f>((65749954+3383470)*I156)/1000000</f>
        <v>989170.70927135996</v>
      </c>
      <c r="E156" s="3">
        <f>((19717677+8602)*I156)/1000000</f>
        <v>282246.36161105998</v>
      </c>
      <c r="F156" s="3">
        <f>((93780519*I156)/1000000)</f>
        <v>1341824.79512466</v>
      </c>
      <c r="G156" s="2">
        <v>0</v>
      </c>
      <c r="I156" s="3">
        <v>14308.14</v>
      </c>
    </row>
    <row r="157" spans="1:9" ht="12.75" x14ac:dyDescent="0.35">
      <c r="A157" s="2">
        <v>2024</v>
      </c>
      <c r="B157" s="2" t="s">
        <v>27</v>
      </c>
      <c r="C157" s="3">
        <f>((11132493*I157)/1000000)</f>
        <v>176510.68613685001</v>
      </c>
      <c r="D157" s="3">
        <f>((176577907)*I157)/1000000</f>
        <v>2799722.1755431499</v>
      </c>
      <c r="E157" s="3">
        <f>((69391545*I157)/1000000)</f>
        <v>1100234.17217025</v>
      </c>
      <c r="F157" s="3">
        <f>((351799326*I157)/1000000)</f>
        <v>5577936.6234267</v>
      </c>
      <c r="G157" s="2">
        <v>1</v>
      </c>
      <c r="I157" s="3">
        <v>15855.45</v>
      </c>
    </row>
    <row r="158" spans="1:9" ht="12.75" x14ac:dyDescent="0.35">
      <c r="A158" s="2">
        <v>2023</v>
      </c>
      <c r="B158" s="2" t="s">
        <v>27</v>
      </c>
      <c r="C158" s="3">
        <f>((16721804*I158)/1000000)</f>
        <v>254788.12093151998</v>
      </c>
      <c r="D158" s="3">
        <f>((292520667)*I158)/1000000</f>
        <v>4457102.3005989604</v>
      </c>
      <c r="E158" s="3">
        <f>((96457169*I158)/1000000)</f>
        <v>1469706.3091927199</v>
      </c>
      <c r="F158" s="3">
        <f>((463873187*I158)/1000000)</f>
        <v>7067980.0855365591</v>
      </c>
      <c r="G158" s="2">
        <v>0</v>
      </c>
      <c r="I158" s="3">
        <v>15236.88</v>
      </c>
    </row>
    <row r="159" spans="1:9" ht="12.75" x14ac:dyDescent="0.35">
      <c r="A159" s="2">
        <v>2022</v>
      </c>
      <c r="B159" s="2" t="s">
        <v>27</v>
      </c>
      <c r="C159" s="3">
        <f>((20804690*I159)/1000000)</f>
        <v>308946.52579649998</v>
      </c>
      <c r="D159" s="3">
        <f>((523580088)*I159)/1000000</f>
        <v>7775085.7697868003</v>
      </c>
      <c r="E159" s="3">
        <f>((199203040*I159)/1000000)</f>
        <v>2958135.2635440002</v>
      </c>
      <c r="F159" s="3">
        <f>((945497149*I159)/1000000)</f>
        <v>14040490.838077649</v>
      </c>
      <c r="G159" s="2">
        <v>0</v>
      </c>
      <c r="I159" s="3">
        <v>14849.85</v>
      </c>
    </row>
    <row r="160" spans="1:9" ht="12.75" x14ac:dyDescent="0.35">
      <c r="A160" s="2">
        <v>2021</v>
      </c>
      <c r="B160" s="2" t="s">
        <v>27</v>
      </c>
      <c r="C160" s="3">
        <f>((17964191*I160)/1000000)</f>
        <v>257034.15981473998</v>
      </c>
      <c r="D160" s="3">
        <f>((340825606)*I160)/1000000</f>
        <v>4876580.4862328395</v>
      </c>
      <c r="E160" s="3">
        <f>((139318229*I160)/1000000)</f>
        <v>1993384.7250840599</v>
      </c>
      <c r="F160" s="3">
        <f>((721806619*I160)/1000000)</f>
        <v>10327710.15757866</v>
      </c>
      <c r="G160" s="2">
        <v>0</v>
      </c>
      <c r="I160" s="3">
        <v>14308.14</v>
      </c>
    </row>
    <row r="161" spans="1:9" ht="12.75" x14ac:dyDescent="0.35">
      <c r="A161" s="2">
        <v>2020</v>
      </c>
      <c r="B161" s="2" t="s">
        <v>27</v>
      </c>
      <c r="C161" s="3">
        <f>((22470777*I161)/1000000)</f>
        <v>327673.36436940002</v>
      </c>
      <c r="D161" s="3">
        <f>((282106140)*I161)/1000000</f>
        <v>4113728.1547079999</v>
      </c>
      <c r="E161" s="3">
        <f>((125698600*I161)/1000000)</f>
        <v>1832962.1249200001</v>
      </c>
      <c r="F161" s="3">
        <f>((613006216*I161)/1000000)</f>
        <v>8938979.2429552004</v>
      </c>
      <c r="G161" s="2">
        <v>0</v>
      </c>
      <c r="I161" s="3">
        <v>14582.2</v>
      </c>
    </row>
    <row r="162" spans="1:9" ht="12.75" x14ac:dyDescent="0.35">
      <c r="A162" s="2">
        <v>2019</v>
      </c>
      <c r="B162" s="2" t="s">
        <v>27</v>
      </c>
      <c r="C162" s="3">
        <f>((28999787*I162)/1000000)</f>
        <v>410279.41654628998</v>
      </c>
      <c r="D162" s="3">
        <f>((431602929)*I162)/1000000</f>
        <v>6106175.8105254294</v>
      </c>
      <c r="E162" s="3">
        <f>((176236534*I162)/1000000)</f>
        <v>2493336.3249757797</v>
      </c>
      <c r="F162" s="3">
        <f>((823508325*I162)/1000000)</f>
        <v>11650724.02435275</v>
      </c>
      <c r="G162" s="2">
        <v>0</v>
      </c>
      <c r="I162" s="3">
        <v>14147.67</v>
      </c>
    </row>
    <row r="163" spans="1:9" ht="12.75" x14ac:dyDescent="0.35">
      <c r="A163" s="2">
        <v>2018</v>
      </c>
      <c r="B163" s="2" t="s">
        <v>27</v>
      </c>
      <c r="C163" s="3">
        <f>((28104677*I163)/1000000)</f>
        <v>400124.60016838001</v>
      </c>
      <c r="D163" s="3">
        <f>((499192997)*I163)/1000000</f>
        <v>7106980.746709181</v>
      </c>
      <c r="E163" s="3">
        <f>((225592573*I163)/1000000)</f>
        <v>3211747.9262466202</v>
      </c>
      <c r="F163" s="3">
        <f>((866915143*I163)/1000000)</f>
        <v>12342218.875982421</v>
      </c>
      <c r="G163" s="2">
        <v>0</v>
      </c>
      <c r="I163" s="3">
        <v>14236.94</v>
      </c>
    </row>
    <row r="164" spans="1:9" ht="12.75" x14ac:dyDescent="0.35">
      <c r="A164" s="2">
        <v>2024</v>
      </c>
      <c r="B164" s="2" t="s">
        <v>28</v>
      </c>
      <c r="C164" s="3">
        <v>7921</v>
      </c>
      <c r="D164" s="3">
        <v>514467</v>
      </c>
      <c r="E164" s="3">
        <v>212906</v>
      </c>
      <c r="F164" s="3">
        <v>788262</v>
      </c>
      <c r="G164" s="2">
        <v>1</v>
      </c>
    </row>
    <row r="165" spans="1:9" ht="12.75" x14ac:dyDescent="0.35">
      <c r="A165" s="2">
        <v>2023</v>
      </c>
      <c r="B165" s="2" t="s">
        <v>28</v>
      </c>
      <c r="C165" s="3">
        <v>8065</v>
      </c>
      <c r="D165" s="3">
        <v>591695</v>
      </c>
      <c r="E165" s="3">
        <v>213653</v>
      </c>
      <c r="F165" s="3">
        <v>950454</v>
      </c>
      <c r="G165" s="2">
        <v>0</v>
      </c>
    </row>
    <row r="166" spans="1:9" ht="12.75" x14ac:dyDescent="0.35">
      <c r="A166" s="2">
        <v>2022</v>
      </c>
      <c r="B166" s="2" t="s">
        <v>28</v>
      </c>
      <c r="C166" s="3">
        <v>10344</v>
      </c>
      <c r="D166" s="3">
        <v>903418</v>
      </c>
      <c r="E166" s="3">
        <v>252947</v>
      </c>
      <c r="F166" s="3">
        <v>1061799</v>
      </c>
      <c r="G166" s="2">
        <v>0</v>
      </c>
    </row>
    <row r="167" spans="1:9" ht="12.75" x14ac:dyDescent="0.35">
      <c r="A167" s="2">
        <v>2021</v>
      </c>
      <c r="B167" s="2" t="s">
        <v>28</v>
      </c>
      <c r="C167" s="3">
        <v>9736</v>
      </c>
      <c r="D167" s="3">
        <v>893282</v>
      </c>
      <c r="E167" s="3">
        <v>232057</v>
      </c>
      <c r="F167" s="3">
        <v>1374486</v>
      </c>
      <c r="G167" s="2">
        <v>0</v>
      </c>
    </row>
    <row r="168" spans="1:9" ht="12.75" x14ac:dyDescent="0.35">
      <c r="A168" s="2">
        <v>2020</v>
      </c>
      <c r="B168" s="2" t="s">
        <v>28</v>
      </c>
      <c r="C168" s="3">
        <v>9706</v>
      </c>
      <c r="D168" s="3">
        <v>606734</v>
      </c>
      <c r="E168" s="3">
        <v>215481</v>
      </c>
      <c r="F168" s="3">
        <v>1204954</v>
      </c>
      <c r="G168" s="2">
        <v>0</v>
      </c>
    </row>
    <row r="169" spans="1:9" ht="12.75" x14ac:dyDescent="0.35">
      <c r="A169" s="2">
        <v>2019</v>
      </c>
      <c r="B169" s="2" t="s">
        <v>28</v>
      </c>
      <c r="C169" s="3">
        <v>11312</v>
      </c>
      <c r="D169" s="3">
        <v>659487</v>
      </c>
      <c r="E169" s="3">
        <v>241813</v>
      </c>
      <c r="F169" s="3">
        <v>1072626</v>
      </c>
      <c r="G169" s="2">
        <v>0</v>
      </c>
    </row>
    <row r="170" spans="1:9" ht="12.75" x14ac:dyDescent="0.35">
      <c r="A170" s="2">
        <v>2018</v>
      </c>
      <c r="B170" s="2" t="s">
        <v>28</v>
      </c>
      <c r="C170" s="3">
        <v>14389</v>
      </c>
      <c r="D170" s="3">
        <v>873691</v>
      </c>
      <c r="E170" s="3">
        <v>346220</v>
      </c>
      <c r="F170" s="3">
        <v>1279809</v>
      </c>
      <c r="G170" s="2">
        <v>0</v>
      </c>
    </row>
    <row r="171" spans="1:9" ht="12.75" x14ac:dyDescent="0.35">
      <c r="A171" s="2">
        <v>2017</v>
      </c>
      <c r="B171" s="2" t="s">
        <v>28</v>
      </c>
      <c r="C171" s="3">
        <v>16043</v>
      </c>
      <c r="D171" s="3">
        <v>857028</v>
      </c>
      <c r="E171" s="3">
        <v>372768</v>
      </c>
      <c r="F171" s="3">
        <v>1218317</v>
      </c>
      <c r="G171" s="2">
        <v>0</v>
      </c>
    </row>
    <row r="172" spans="1:9" ht="12.75" x14ac:dyDescent="0.35">
      <c r="A172" s="2">
        <v>2016</v>
      </c>
      <c r="B172" s="2" t="s">
        <v>28</v>
      </c>
      <c r="C172" s="3">
        <v>13957</v>
      </c>
      <c r="D172" s="3">
        <v>680227</v>
      </c>
      <c r="E172" s="3">
        <v>268738</v>
      </c>
      <c r="F172" s="3">
        <v>978840</v>
      </c>
      <c r="G172" s="2">
        <v>0</v>
      </c>
    </row>
    <row r="173" spans="1:9" ht="12.75" x14ac:dyDescent="0.35">
      <c r="A173" s="2">
        <v>2015</v>
      </c>
      <c r="B173" s="2" t="s">
        <v>28</v>
      </c>
      <c r="C173" s="3">
        <v>14808</v>
      </c>
      <c r="D173" s="3">
        <v>852036</v>
      </c>
      <c r="E173" s="3">
        <v>319516</v>
      </c>
      <c r="F173" s="3">
        <v>1251193</v>
      </c>
      <c r="G173" s="2">
        <v>0</v>
      </c>
    </row>
    <row r="174" spans="1:9" ht="12.75" x14ac:dyDescent="0.35">
      <c r="A174" s="2">
        <v>2024</v>
      </c>
      <c r="B174" s="2" t="s">
        <v>29</v>
      </c>
      <c r="C174" s="3">
        <f>((3668188*I174)/1000000)</f>
        <v>58160.771424600003</v>
      </c>
      <c r="D174" s="3">
        <f>((136510976+2311872+1257179)*I174)/1000000</f>
        <v>2221031.86409715</v>
      </c>
      <c r="E174" s="3">
        <f>((3720146+1732618+981112+685055+85263+5019+1364531)*I174)/1000000</f>
        <v>135940.56930480001</v>
      </c>
      <c r="F174" s="3">
        <f>((155728216*I174)/1000000)</f>
        <v>2469140.9423772004</v>
      </c>
      <c r="G174" s="2">
        <v>1</v>
      </c>
      <c r="I174" s="3">
        <v>15855.45</v>
      </c>
    </row>
    <row r="175" spans="1:9" ht="12.75" x14ac:dyDescent="0.35">
      <c r="A175" s="2">
        <v>2023</v>
      </c>
      <c r="B175" s="2" t="s">
        <v>29</v>
      </c>
      <c r="C175" s="3">
        <f>((4021282*I175)/1000000)</f>
        <v>61271.791280159996</v>
      </c>
      <c r="D175" s="3">
        <f>((150912844+2119502+1386865)*I175)/1000000</f>
        <v>2352866.9877016796</v>
      </c>
      <c r="E175" s="3">
        <f>((3628012+1741746+1817148+1146466+142824+528814+1536052)*I175)/1000000</f>
        <v>160612.89676656001</v>
      </c>
      <c r="F175" s="3">
        <f>((171067110*I175)/1000000)</f>
        <v>2606529.0270167999</v>
      </c>
      <c r="G175" s="2">
        <v>0</v>
      </c>
      <c r="I175" s="3">
        <v>15236.88</v>
      </c>
    </row>
    <row r="176" spans="1:9" ht="12.75" x14ac:dyDescent="0.35">
      <c r="A176" s="2">
        <v>2022</v>
      </c>
      <c r="B176" s="2" t="s">
        <v>29</v>
      </c>
      <c r="C176" s="3">
        <f>((4026078*I176)/1000000)</f>
        <v>59786.654388300005</v>
      </c>
      <c r="D176" s="3">
        <f>((220895673+1619394+2677965)*I176)/1000000</f>
        <v>3344082.7462452003</v>
      </c>
      <c r="E176" s="3">
        <f>((3729328+2057273+1593444+1324994+189772+299667+1548696)*I176)/1000000</f>
        <v>159534.52242389999</v>
      </c>
      <c r="F176" s="3">
        <f>((252347224*I176)/1000000)</f>
        <v>3747318.4243163997</v>
      </c>
      <c r="G176" s="2">
        <v>0</v>
      </c>
      <c r="I176" s="3">
        <v>14849.85</v>
      </c>
    </row>
    <row r="177" spans="1:9" ht="12.75" x14ac:dyDescent="0.35">
      <c r="A177" s="2">
        <v>2021</v>
      </c>
      <c r="B177" s="2" t="s">
        <v>29</v>
      </c>
      <c r="C177" s="3">
        <f>((4446326*I177)/1000000)</f>
        <v>63618.65489364</v>
      </c>
      <c r="D177" s="3">
        <f>((170646401+1679295+1608479)*I177)/1000000</f>
        <v>2488674.5266844998</v>
      </c>
      <c r="E177" s="3">
        <f>((4425885+2301430+1257252+1059711+175627+1758+1581234)*I177)/1000000</f>
        <v>154569.36268157998</v>
      </c>
      <c r="F177" s="3">
        <f>((210736463*I177)/1000000)</f>
        <v>3015246.8157088198</v>
      </c>
      <c r="G177" s="2">
        <v>0</v>
      </c>
      <c r="I177" s="3">
        <v>14308.14</v>
      </c>
    </row>
    <row r="178" spans="1:9" ht="12.75" x14ac:dyDescent="0.35">
      <c r="A178" s="2">
        <v>2020</v>
      </c>
      <c r="B178" s="2" t="s">
        <v>29</v>
      </c>
      <c r="C178" s="3">
        <f>((3965840*I178)/1000000)</f>
        <v>57830.672048</v>
      </c>
      <c r="D178" s="3">
        <f>((117701509+1751897+1695026)*I178)/1000000</f>
        <v>1766610.6651104002</v>
      </c>
      <c r="E178" s="3">
        <f>((4532510+2258325+1616737+1282160+162119+66494+1538266)*I178)/1000000</f>
        <v>167062.5929242</v>
      </c>
      <c r="F178" s="3">
        <f>((144729810*I178)/1000000)</f>
        <v>2110479.0353819998</v>
      </c>
      <c r="G178" s="2">
        <v>0</v>
      </c>
      <c r="I178" s="3">
        <v>14582.2</v>
      </c>
    </row>
    <row r="179" spans="1:9" ht="12.75" x14ac:dyDescent="0.35">
      <c r="A179" s="2">
        <v>2019</v>
      </c>
      <c r="B179" s="2" t="s">
        <v>29</v>
      </c>
      <c r="C179" s="3">
        <f>((4889319*I179)/1000000)</f>
        <v>69172.471736729989</v>
      </c>
      <c r="D179" s="3">
        <f>((127459928+1958660+1710429)*I179)/1000000</f>
        <v>1855170.0599403898</v>
      </c>
      <c r="E179" s="3">
        <f>((4443636+2262543+1825793+1301917+271690+1662056+0)*I179)/1000000</f>
        <v>166484.61666045</v>
      </c>
      <c r="F179" s="3">
        <f>((163085289*I179)/1000000)</f>
        <v>2307276.8506266298</v>
      </c>
      <c r="G179" s="2">
        <v>0</v>
      </c>
      <c r="I179" s="3">
        <v>14147.67</v>
      </c>
    </row>
    <row r="180" spans="1:9" ht="12.75" x14ac:dyDescent="0.35">
      <c r="A180" s="2">
        <v>2018</v>
      </c>
      <c r="B180" s="2" t="s">
        <v>29</v>
      </c>
      <c r="C180" s="3">
        <f>((4738985*I180)/1000000)</f>
        <v>67468.645105899996</v>
      </c>
      <c r="D180" s="3">
        <f>((141330796+1956182+1890304)*I180)/1000000</f>
        <v>2066880.25319708</v>
      </c>
      <c r="E180" s="3">
        <f>(( 4310581+2015148+1988320+1533675+499981+215914+84407+1204322)*I180)/1000000</f>
        <v>168741.16733512</v>
      </c>
      <c r="F180" s="3">
        <f>((163135351*I180)/1000000)</f>
        <v>2322548.2040659399</v>
      </c>
      <c r="G180" s="2">
        <v>0</v>
      </c>
      <c r="I180" s="3">
        <v>14236.94</v>
      </c>
    </row>
    <row r="181" spans="1:9" ht="12.75" x14ac:dyDescent="0.35">
      <c r="A181" s="2">
        <v>2017</v>
      </c>
      <c r="B181" s="2" t="s">
        <v>29</v>
      </c>
      <c r="C181" s="3">
        <f>((4773842*I181)/1000000)</f>
        <v>63877.968248860001</v>
      </c>
      <c r="D181" s="3">
        <f>((118982325+2252064+1702483)*I181)/1000000</f>
        <v>1644997.3849637599</v>
      </c>
      <c r="E181" s="3">
        <f>(( 4069151+2154329+1876511+1161058+384508+120900+105397+888655)*I181)/1000000</f>
        <v>143984.54164246999</v>
      </c>
      <c r="F181" s="3">
        <f>((151792945*I181)/1000000)</f>
        <v>2031115.5922443501</v>
      </c>
      <c r="G181" s="2">
        <v>0</v>
      </c>
      <c r="I181" s="3">
        <v>13380.83</v>
      </c>
    </row>
    <row r="182" spans="1:9" ht="12.75" x14ac:dyDescent="0.35">
      <c r="A182" s="2">
        <v>2016</v>
      </c>
      <c r="B182" s="2" t="s">
        <v>29</v>
      </c>
      <c r="C182" s="3">
        <f>((4792429*I182)/1000000)</f>
        <v>63779.226633569997</v>
      </c>
      <c r="D182" s="3">
        <f>((101624603+2154089+1389509)*I182)/1000000</f>
        <v>1399613.1244143301</v>
      </c>
      <c r="E182" s="3">
        <f>(( 4180527+2388667+1443125+1166170+640999+104550+53079+712870)*I182)/1000000</f>
        <v>142265.87469170999</v>
      </c>
      <c r="F182" s="3">
        <f>((131664283*I182)/1000000)</f>
        <v>1752231.7273773898</v>
      </c>
      <c r="G182" s="2">
        <v>0</v>
      </c>
      <c r="I182" s="3">
        <v>13308.33</v>
      </c>
    </row>
    <row r="183" spans="1:9" ht="12.75" x14ac:dyDescent="0.35">
      <c r="A183" s="2">
        <v>2015</v>
      </c>
      <c r="B183" s="2" t="s">
        <v>29</v>
      </c>
      <c r="C183" s="3">
        <f>((4975977*I183)/1000000)</f>
        <v>66625.396203569995</v>
      </c>
      <c r="D183" s="3">
        <f>((110630211+2046681+1490817)*I183)/1000000</f>
        <v>1528638.2645616899</v>
      </c>
      <c r="E183" s="3">
        <f>(( 4235486+2356612+878895+1024521+1093505+77895+2128+556753)*I183)/1000000</f>
        <v>136917.36183094999</v>
      </c>
      <c r="F183" s="3">
        <f>((137363590*I183)/1000000)</f>
        <v>1839217.4255818999</v>
      </c>
      <c r="G183" s="2">
        <v>0</v>
      </c>
      <c r="I183" s="3">
        <v>13389.41</v>
      </c>
    </row>
    <row r="184" spans="1:9" ht="12.75" x14ac:dyDescent="0.35">
      <c r="A184" s="2">
        <v>2024</v>
      </c>
      <c r="B184" s="2" t="s">
        <v>30</v>
      </c>
      <c r="C184" s="3">
        <v>128121</v>
      </c>
      <c r="D184" s="3">
        <v>672870</v>
      </c>
      <c r="E184" s="3">
        <v>358615</v>
      </c>
      <c r="F184" s="3">
        <v>1475267</v>
      </c>
      <c r="G184" s="2">
        <v>1</v>
      </c>
    </row>
    <row r="185" spans="1:9" ht="12.75" x14ac:dyDescent="0.35">
      <c r="A185" s="2">
        <v>2023</v>
      </c>
      <c r="B185" s="2" t="s">
        <v>30</v>
      </c>
      <c r="C185" s="3">
        <v>126658</v>
      </c>
      <c r="D185" s="3">
        <v>634937</v>
      </c>
      <c r="E185" s="3">
        <v>412109</v>
      </c>
      <c r="F185" s="3">
        <v>1465497</v>
      </c>
      <c r="G185" s="2">
        <v>0</v>
      </c>
    </row>
    <row r="186" spans="1:9" ht="12.75" x14ac:dyDescent="0.35">
      <c r="A186" s="2">
        <v>2022</v>
      </c>
      <c r="B186" s="2" t="s">
        <v>30</v>
      </c>
      <c r="C186" s="3">
        <v>118132</v>
      </c>
      <c r="D186" s="3">
        <v>703453</v>
      </c>
      <c r="E186" s="3">
        <v>383179</v>
      </c>
      <c r="F186" s="3">
        <v>1422635</v>
      </c>
      <c r="G186" s="2">
        <v>0</v>
      </c>
    </row>
    <row r="187" spans="1:9" ht="12.75" x14ac:dyDescent="0.35">
      <c r="A187" s="2">
        <v>2021</v>
      </c>
      <c r="B187" s="2" t="s">
        <v>30</v>
      </c>
      <c r="C187" s="3">
        <v>108315</v>
      </c>
      <c r="D187" s="3">
        <v>564097</v>
      </c>
      <c r="E187" s="3">
        <v>280073</v>
      </c>
      <c r="F187" s="3">
        <v>1181849</v>
      </c>
      <c r="G187" s="2">
        <v>0</v>
      </c>
    </row>
    <row r="188" spans="1:9" ht="12.75" x14ac:dyDescent="0.35">
      <c r="A188" s="2">
        <v>2020</v>
      </c>
      <c r="B188" s="2" t="s">
        <v>30</v>
      </c>
      <c r="C188" s="3">
        <v>70580</v>
      </c>
      <c r="D188" s="3">
        <v>333988</v>
      </c>
      <c r="E188" s="3">
        <v>219346</v>
      </c>
      <c r="F188" s="3">
        <v>788873</v>
      </c>
      <c r="G188" s="2">
        <v>0</v>
      </c>
    </row>
    <row r="189" spans="1:9" ht="12.75" x14ac:dyDescent="0.35">
      <c r="A189" s="2">
        <v>2019</v>
      </c>
      <c r="B189" s="2" t="s">
        <v>30</v>
      </c>
      <c r="C189" s="3">
        <v>101817</v>
      </c>
      <c r="D189" s="3">
        <v>543623</v>
      </c>
      <c r="E189" s="3">
        <v>292729</v>
      </c>
      <c r="F189" s="3">
        <v>1206818</v>
      </c>
      <c r="G189" s="2">
        <v>0</v>
      </c>
    </row>
    <row r="190" spans="1:9" ht="12.75" x14ac:dyDescent="0.35">
      <c r="A190" s="2">
        <v>2018</v>
      </c>
      <c r="B190" s="2" t="s">
        <v>30</v>
      </c>
      <c r="C190" s="3">
        <v>103151</v>
      </c>
      <c r="D190" s="3">
        <v>549420</v>
      </c>
      <c r="E190" s="3">
        <v>256958</v>
      </c>
      <c r="F190" s="3">
        <v>1187195</v>
      </c>
      <c r="G190" s="2">
        <v>0</v>
      </c>
    </row>
    <row r="191" spans="1:9" ht="12.75" x14ac:dyDescent="0.35">
      <c r="A191" s="2">
        <v>2017</v>
      </c>
      <c r="B191" s="2" t="s">
        <v>30</v>
      </c>
      <c r="C191" s="3">
        <v>94716</v>
      </c>
      <c r="D191" s="3">
        <v>407726</v>
      </c>
      <c r="E191" s="3">
        <v>222638</v>
      </c>
      <c r="F191" s="3">
        <v>1047701</v>
      </c>
      <c r="G191" s="2">
        <v>0</v>
      </c>
    </row>
    <row r="192" spans="1:9" ht="12.75" x14ac:dyDescent="0.35">
      <c r="A192" s="2">
        <v>2016</v>
      </c>
      <c r="B192" s="2" t="s">
        <v>30</v>
      </c>
      <c r="C192" s="3">
        <v>94682</v>
      </c>
      <c r="D192" s="3">
        <v>381975</v>
      </c>
      <c r="E192" s="3">
        <v>253979</v>
      </c>
      <c r="F192" s="3">
        <v>1051069</v>
      </c>
      <c r="G192" s="2">
        <v>0</v>
      </c>
    </row>
    <row r="193" spans="1:7" ht="12.75" x14ac:dyDescent="0.35">
      <c r="A193" s="2">
        <v>2015</v>
      </c>
      <c r="B193" s="2" t="s">
        <v>30</v>
      </c>
      <c r="C193" s="3">
        <v>74903</v>
      </c>
      <c r="D193" s="3">
        <v>293962</v>
      </c>
      <c r="E193" s="3">
        <v>201683</v>
      </c>
      <c r="F193" s="3">
        <v>837877</v>
      </c>
      <c r="G193" s="2">
        <v>0</v>
      </c>
    </row>
    <row r="194" spans="1:7" ht="12.75" x14ac:dyDescent="0.35">
      <c r="A194" s="2">
        <v>2024</v>
      </c>
      <c r="B194" s="2" t="s">
        <v>31</v>
      </c>
      <c r="C194" s="3">
        <v>31133</v>
      </c>
      <c r="D194" s="3">
        <v>1808349</v>
      </c>
      <c r="E194" s="3">
        <v>155115</v>
      </c>
      <c r="F194" s="3">
        <v>2594518</v>
      </c>
      <c r="G194" s="2">
        <v>1</v>
      </c>
    </row>
    <row r="195" spans="1:7" ht="12.75" x14ac:dyDescent="0.35">
      <c r="A195" s="2">
        <v>2023</v>
      </c>
      <c r="B195" s="2" t="s">
        <v>31</v>
      </c>
      <c r="C195" s="3">
        <v>24454</v>
      </c>
      <c r="D195" s="3">
        <v>1823057</v>
      </c>
      <c r="E195" s="3">
        <v>141062</v>
      </c>
      <c r="F195" s="3">
        <v>2524984</v>
      </c>
      <c r="G195" s="2">
        <v>0</v>
      </c>
    </row>
    <row r="196" spans="1:7" ht="12.75" x14ac:dyDescent="0.35">
      <c r="A196" s="2">
        <v>2022</v>
      </c>
      <c r="B196" s="2" t="s">
        <v>31</v>
      </c>
      <c r="C196" s="3">
        <v>25113</v>
      </c>
      <c r="D196" s="3">
        <v>2011265</v>
      </c>
      <c r="E196" s="3">
        <v>132555</v>
      </c>
      <c r="F196" s="3">
        <v>2594505</v>
      </c>
      <c r="G196" s="2">
        <v>0</v>
      </c>
    </row>
    <row r="197" spans="1:7" ht="12.75" x14ac:dyDescent="0.35">
      <c r="A197" s="2">
        <v>2021</v>
      </c>
      <c r="B197" s="2" t="s">
        <v>31</v>
      </c>
      <c r="C197" s="3">
        <v>26946</v>
      </c>
      <c r="D197" s="3">
        <v>1452176</v>
      </c>
      <c r="E197" s="3">
        <v>177540</v>
      </c>
      <c r="F197" s="3">
        <v>1672251</v>
      </c>
      <c r="G197" s="2">
        <v>0</v>
      </c>
    </row>
    <row r="198" spans="1:7" ht="12.75" x14ac:dyDescent="0.35">
      <c r="A198" s="2">
        <v>2020</v>
      </c>
      <c r="B198" s="2" t="s">
        <v>31</v>
      </c>
      <c r="C198" s="3">
        <v>28364</v>
      </c>
      <c r="D198" s="3">
        <v>1123527</v>
      </c>
      <c r="E198" s="3">
        <v>135034</v>
      </c>
      <c r="F198" s="3">
        <v>1331775</v>
      </c>
      <c r="G198" s="2">
        <v>0</v>
      </c>
    </row>
    <row r="199" spans="1:7" ht="12.75" x14ac:dyDescent="0.35">
      <c r="A199" s="2">
        <v>2019</v>
      </c>
      <c r="B199" s="2" t="s">
        <v>31</v>
      </c>
      <c r="C199" s="3">
        <v>32168</v>
      </c>
      <c r="D199" s="3">
        <v>1592577</v>
      </c>
      <c r="E199" s="3">
        <v>148115</v>
      </c>
      <c r="F199" s="3">
        <v>1852767</v>
      </c>
      <c r="G199" s="2">
        <v>0</v>
      </c>
    </row>
    <row r="200" spans="1:7" ht="12.75" x14ac:dyDescent="0.35">
      <c r="A200" s="2">
        <v>2018</v>
      </c>
      <c r="B200" s="2" t="s">
        <v>31</v>
      </c>
      <c r="C200" s="3">
        <v>28816</v>
      </c>
      <c r="D200" s="3">
        <v>1395588</v>
      </c>
      <c r="E200" s="3">
        <v>131682</v>
      </c>
      <c r="F200" s="3">
        <v>1556288</v>
      </c>
      <c r="G200" s="2">
        <v>0</v>
      </c>
    </row>
    <row r="201" spans="1:7" ht="12.75" x14ac:dyDescent="0.35">
      <c r="A201" s="2">
        <v>2017</v>
      </c>
      <c r="B201" s="2" t="s">
        <v>31</v>
      </c>
      <c r="C201" s="3">
        <v>28066</v>
      </c>
      <c r="D201" s="3">
        <v>1134576</v>
      </c>
      <c r="E201" s="3">
        <v>124445</v>
      </c>
      <c r="F201" s="3">
        <v>1404064</v>
      </c>
      <c r="G201" s="2">
        <v>0</v>
      </c>
    </row>
    <row r="202" spans="1:7" ht="12.75" x14ac:dyDescent="0.35">
      <c r="A202" s="2">
        <v>2016</v>
      </c>
      <c r="B202" s="2" t="s">
        <v>31</v>
      </c>
      <c r="C202" s="2">
        <v>17075</v>
      </c>
      <c r="D202" s="3">
        <v>541917</v>
      </c>
      <c r="E202" s="3">
        <v>85689</v>
      </c>
      <c r="F202" s="3">
        <v>757282</v>
      </c>
      <c r="G202" s="2">
        <v>0</v>
      </c>
    </row>
    <row r="203" spans="1:7" ht="12.75" x14ac:dyDescent="0.35">
      <c r="A203" s="2">
        <v>2015</v>
      </c>
      <c r="B203" s="2" t="s">
        <v>31</v>
      </c>
      <c r="C203" s="2">
        <v>16427</v>
      </c>
      <c r="D203" s="3">
        <v>684861</v>
      </c>
      <c r="E203" s="3">
        <v>95634</v>
      </c>
      <c r="F203" s="3">
        <v>913792</v>
      </c>
      <c r="G203" s="2">
        <v>0</v>
      </c>
    </row>
    <row r="204" spans="1:7" ht="12.75" x14ac:dyDescent="0.35">
      <c r="A204" s="2">
        <v>2024</v>
      </c>
      <c r="B204" s="2" t="s">
        <v>32</v>
      </c>
      <c r="C204" s="3">
        <v>4404</v>
      </c>
      <c r="D204" s="3">
        <v>63430</v>
      </c>
      <c r="E204" s="3">
        <v>18072</v>
      </c>
      <c r="F204" s="3">
        <v>128025</v>
      </c>
      <c r="G204" s="2">
        <v>1</v>
      </c>
    </row>
    <row r="205" spans="1:7" ht="12.75" x14ac:dyDescent="0.35">
      <c r="A205" s="2">
        <v>2023</v>
      </c>
      <c r="B205" s="2" t="s">
        <v>32</v>
      </c>
      <c r="C205" s="3">
        <v>4353</v>
      </c>
      <c r="D205" s="3">
        <v>62966</v>
      </c>
      <c r="E205" s="3">
        <v>16955</v>
      </c>
      <c r="F205" s="3">
        <v>139549</v>
      </c>
      <c r="G205" s="2">
        <v>0</v>
      </c>
    </row>
    <row r="206" spans="1:7" ht="12.75" x14ac:dyDescent="0.35">
      <c r="A206" s="2">
        <v>2022</v>
      </c>
      <c r="B206" s="2" t="s">
        <v>32</v>
      </c>
      <c r="C206" s="3">
        <v>4207</v>
      </c>
      <c r="D206" s="3">
        <v>64690</v>
      </c>
      <c r="E206" s="3">
        <v>17141</v>
      </c>
      <c r="F206" s="3">
        <v>152170</v>
      </c>
      <c r="G206" s="2">
        <v>0</v>
      </c>
    </row>
    <row r="207" spans="1:7" ht="12.75" x14ac:dyDescent="0.35">
      <c r="A207" s="2">
        <v>2021</v>
      </c>
      <c r="B207" s="2" t="s">
        <v>32</v>
      </c>
      <c r="C207" s="3">
        <v>3587</v>
      </c>
      <c r="D207" s="3">
        <v>47699</v>
      </c>
      <c r="E207" s="3">
        <v>13834</v>
      </c>
      <c r="F207" s="3">
        <v>112730</v>
      </c>
      <c r="G207" s="2">
        <v>0</v>
      </c>
    </row>
    <row r="208" spans="1:7" ht="12.75" x14ac:dyDescent="0.35">
      <c r="A208" s="2">
        <v>2020</v>
      </c>
      <c r="B208" s="2" t="s">
        <v>32</v>
      </c>
      <c r="C208" s="3">
        <v>4214</v>
      </c>
      <c r="D208" s="3">
        <v>50888</v>
      </c>
      <c r="E208" s="3">
        <v>13620</v>
      </c>
      <c r="F208" s="3">
        <v>113551</v>
      </c>
      <c r="G208" s="2">
        <v>0</v>
      </c>
    </row>
    <row r="209" spans="1:7" ht="12.75" x14ac:dyDescent="0.35">
      <c r="A209" s="2">
        <v>2019</v>
      </c>
      <c r="B209" s="2" t="s">
        <v>32</v>
      </c>
      <c r="C209" s="3">
        <v>4171</v>
      </c>
      <c r="D209" s="3">
        <v>52679</v>
      </c>
      <c r="E209" s="3">
        <v>15279</v>
      </c>
      <c r="F209" s="3">
        <v>122325</v>
      </c>
      <c r="G209" s="2">
        <v>0</v>
      </c>
    </row>
    <row r="210" spans="1:7" ht="12.75" x14ac:dyDescent="0.35">
      <c r="A210" s="2">
        <v>2018</v>
      </c>
      <c r="B210" s="2" t="s">
        <v>32</v>
      </c>
      <c r="C210" s="3">
        <v>4152</v>
      </c>
      <c r="D210" s="3">
        <v>53363</v>
      </c>
      <c r="E210" s="3">
        <v>12972</v>
      </c>
      <c r="F210" s="3">
        <v>117489</v>
      </c>
      <c r="G210" s="2">
        <v>0</v>
      </c>
    </row>
    <row r="211" spans="1:7" ht="12.75" x14ac:dyDescent="0.35">
      <c r="A211" s="2">
        <v>2017</v>
      </c>
      <c r="B211" s="2" t="s">
        <v>32</v>
      </c>
      <c r="C211" s="3">
        <v>3852</v>
      </c>
      <c r="D211" s="3">
        <v>36753</v>
      </c>
      <c r="E211" s="3">
        <v>11474</v>
      </c>
      <c r="F211" s="3">
        <v>88010</v>
      </c>
      <c r="G211" s="2">
        <v>0</v>
      </c>
    </row>
    <row r="212" spans="1:7" ht="12.75" x14ac:dyDescent="0.35">
      <c r="A212" s="2">
        <v>2016</v>
      </c>
      <c r="B212" s="2" t="s">
        <v>32</v>
      </c>
      <c r="C212" s="3">
        <v>2701</v>
      </c>
      <c r="D212" s="3">
        <v>35203</v>
      </c>
      <c r="E212" s="3">
        <f>47995-D212-C212</f>
        <v>10091</v>
      </c>
      <c r="F212" s="3">
        <v>62760</v>
      </c>
      <c r="G212" s="2">
        <v>0</v>
      </c>
    </row>
    <row r="213" spans="1:7" ht="12.75" x14ac:dyDescent="0.35">
      <c r="A213" s="2">
        <v>2015</v>
      </c>
      <c r="B213" s="2" t="s">
        <v>32</v>
      </c>
      <c r="C213" s="3">
        <v>2538</v>
      </c>
      <c r="D213" s="3">
        <v>49124</v>
      </c>
      <c r="E213" s="3">
        <f>63369-D213-C213</f>
        <v>11707</v>
      </c>
      <c r="F213" s="3">
        <v>67679</v>
      </c>
      <c r="G213" s="2">
        <v>0</v>
      </c>
    </row>
    <row r="214" spans="1:7" ht="12.75" x14ac:dyDescent="0.35">
      <c r="A214" s="4">
        <v>2024</v>
      </c>
      <c r="B214" s="2" t="s">
        <v>33</v>
      </c>
      <c r="C214" s="3">
        <v>109074</v>
      </c>
      <c r="D214" s="3">
        <v>4713599</v>
      </c>
      <c r="E214" s="3">
        <v>478931</v>
      </c>
      <c r="F214" s="3">
        <v>6118364</v>
      </c>
      <c r="G214" s="4">
        <v>1</v>
      </c>
    </row>
    <row r="215" spans="1:7" ht="12.75" x14ac:dyDescent="0.35">
      <c r="A215" s="4">
        <v>2023</v>
      </c>
      <c r="B215" s="2" t="s">
        <v>33</v>
      </c>
      <c r="C215" s="3">
        <v>96681</v>
      </c>
      <c r="D215" s="3">
        <v>4788301</v>
      </c>
      <c r="E215" s="3">
        <v>462891</v>
      </c>
      <c r="F215" s="3">
        <v>6455329</v>
      </c>
      <c r="G215" s="4">
        <v>0</v>
      </c>
    </row>
    <row r="216" spans="1:7" ht="12.75" x14ac:dyDescent="0.35">
      <c r="A216" s="4">
        <v>2022</v>
      </c>
      <c r="B216" s="2" t="s">
        <v>33</v>
      </c>
      <c r="C216" s="3">
        <v>92747</v>
      </c>
      <c r="D216" s="3">
        <v>4885136</v>
      </c>
      <c r="E216" s="3">
        <v>402684</v>
      </c>
      <c r="F216" s="3">
        <v>6255945</v>
      </c>
      <c r="G216" s="4">
        <v>0</v>
      </c>
    </row>
    <row r="217" spans="1:7" ht="12.75" x14ac:dyDescent="0.35">
      <c r="A217" s="4">
        <v>2021</v>
      </c>
      <c r="B217" s="2" t="s">
        <v>33</v>
      </c>
      <c r="C217" s="3">
        <v>85737</v>
      </c>
      <c r="D217" s="3">
        <v>4108394</v>
      </c>
      <c r="E217" s="3">
        <v>395177</v>
      </c>
      <c r="F217" s="3">
        <v>5378808</v>
      </c>
      <c r="G217" s="4">
        <v>0</v>
      </c>
    </row>
    <row r="218" spans="1:7" ht="12.75" x14ac:dyDescent="0.35">
      <c r="A218" s="4">
        <v>2020</v>
      </c>
      <c r="B218" s="2" t="s">
        <v>33</v>
      </c>
      <c r="C218" s="3">
        <v>73850</v>
      </c>
      <c r="D218" s="3">
        <v>2709593</v>
      </c>
      <c r="E218" s="3">
        <v>355363</v>
      </c>
      <c r="F218" s="3">
        <v>3775530</v>
      </c>
      <c r="G218" s="4">
        <v>0</v>
      </c>
    </row>
    <row r="219" spans="1:7" ht="12.75" x14ac:dyDescent="0.35">
      <c r="A219" s="4">
        <v>2019</v>
      </c>
      <c r="B219" s="2" t="s">
        <v>33</v>
      </c>
      <c r="C219" s="3">
        <v>81712</v>
      </c>
      <c r="D219" s="3">
        <v>3659288</v>
      </c>
      <c r="E219" s="3">
        <v>379827</v>
      </c>
      <c r="F219" s="3">
        <v>4885875</v>
      </c>
      <c r="G219" s="4">
        <v>0</v>
      </c>
    </row>
    <row r="220" spans="1:7" ht="12.75" x14ac:dyDescent="0.35">
      <c r="A220" s="4">
        <v>2018</v>
      </c>
      <c r="B220" s="2" t="s">
        <v>33</v>
      </c>
      <c r="C220" s="3">
        <v>81361</v>
      </c>
      <c r="D220" s="3">
        <v>3629561</v>
      </c>
      <c r="E220" s="3">
        <v>371790</v>
      </c>
      <c r="F220" s="3">
        <v>4467590</v>
      </c>
      <c r="G220" s="4">
        <v>0</v>
      </c>
    </row>
    <row r="221" spans="1:7" ht="12.75" x14ac:dyDescent="0.35">
      <c r="A221" s="4">
        <v>2017</v>
      </c>
      <c r="B221" s="2" t="s">
        <v>33</v>
      </c>
      <c r="C221" s="3">
        <v>69129</v>
      </c>
      <c r="D221" s="3">
        <v>2644488</v>
      </c>
      <c r="E221" s="3">
        <v>348738</v>
      </c>
      <c r="F221" s="3">
        <v>3662810</v>
      </c>
      <c r="G221" s="4">
        <v>0</v>
      </c>
    </row>
    <row r="222" spans="1:7" ht="12.75" x14ac:dyDescent="0.35">
      <c r="A222" s="4">
        <v>2016</v>
      </c>
      <c r="B222" s="2" t="s">
        <v>33</v>
      </c>
      <c r="C222" s="3">
        <v>70743</v>
      </c>
      <c r="D222" s="3">
        <v>2375736</v>
      </c>
      <c r="E222" s="3">
        <v>370035</v>
      </c>
      <c r="F222" s="3">
        <v>3359200</v>
      </c>
      <c r="G222" s="4">
        <v>0</v>
      </c>
    </row>
    <row r="223" spans="1:7" ht="12.75" x14ac:dyDescent="0.35">
      <c r="A223" s="4">
        <v>2015</v>
      </c>
      <c r="B223" s="2" t="s">
        <v>33</v>
      </c>
      <c r="C223" s="3">
        <v>61282</v>
      </c>
      <c r="D223" s="3">
        <v>2600423</v>
      </c>
      <c r="E223" s="3">
        <v>208469</v>
      </c>
      <c r="F223" s="3">
        <v>3583541</v>
      </c>
      <c r="G223" s="4">
        <v>0</v>
      </c>
    </row>
    <row r="224" spans="1:7" ht="12.75" x14ac:dyDescent="0.35">
      <c r="A224" s="4">
        <v>2024</v>
      </c>
      <c r="B224" s="2" t="s">
        <v>34</v>
      </c>
      <c r="C224" s="3">
        <v>132911</v>
      </c>
      <c r="D224" s="3">
        <v>225571</v>
      </c>
      <c r="E224" s="3">
        <f>231102-C224</f>
        <v>98191</v>
      </c>
      <c r="F224" s="3">
        <v>909986</v>
      </c>
      <c r="G224" s="4">
        <v>1</v>
      </c>
    </row>
    <row r="225" spans="1:7" ht="12.75" x14ac:dyDescent="0.35">
      <c r="A225" s="4">
        <v>2023</v>
      </c>
      <c r="B225" s="2" t="s">
        <v>34</v>
      </c>
      <c r="C225" s="3">
        <v>67762</v>
      </c>
      <c r="D225" s="3">
        <v>174989</v>
      </c>
      <c r="E225" s="3">
        <f>125274-C225</f>
        <v>57512</v>
      </c>
      <c r="F225" s="3">
        <v>559468</v>
      </c>
      <c r="G225" s="4">
        <v>0</v>
      </c>
    </row>
    <row r="226" spans="1:7" ht="12.75" x14ac:dyDescent="0.35">
      <c r="A226" s="4">
        <v>2022</v>
      </c>
      <c r="B226" s="2" t="s">
        <v>34</v>
      </c>
      <c r="C226" s="3">
        <v>109641</v>
      </c>
      <c r="D226" s="3">
        <v>177732</v>
      </c>
      <c r="E226" s="3">
        <f>202711-C226</f>
        <v>93070</v>
      </c>
      <c r="F226" s="3">
        <v>823656</v>
      </c>
      <c r="G226" s="4">
        <v>0</v>
      </c>
    </row>
    <row r="227" spans="1:7" ht="12.75" x14ac:dyDescent="0.35">
      <c r="A227" s="4">
        <v>2021</v>
      </c>
      <c r="B227" s="2" t="s">
        <v>34</v>
      </c>
      <c r="C227" s="3">
        <v>180557</v>
      </c>
      <c r="D227" s="3">
        <v>296193</v>
      </c>
      <c r="E227" s="3">
        <f>304524-C227</f>
        <v>123967</v>
      </c>
      <c r="F227" s="3">
        <v>1191506</v>
      </c>
      <c r="G227" s="4">
        <v>0</v>
      </c>
    </row>
    <row r="228" spans="1:7" ht="12.75" x14ac:dyDescent="0.35">
      <c r="A228" s="4">
        <v>2020</v>
      </c>
      <c r="B228" s="2" t="s">
        <v>34</v>
      </c>
      <c r="C228" s="3">
        <v>71390</v>
      </c>
      <c r="D228" s="3">
        <v>199379</v>
      </c>
      <c r="E228" s="3">
        <f>135411-C228</f>
        <v>64021</v>
      </c>
      <c r="F228" s="3">
        <v>565439</v>
      </c>
      <c r="G228" s="4">
        <v>0</v>
      </c>
    </row>
    <row r="229" spans="1:7" ht="12.75" x14ac:dyDescent="0.35">
      <c r="A229" s="4">
        <v>2019</v>
      </c>
      <c r="B229" s="2" t="s">
        <v>34</v>
      </c>
      <c r="C229" s="3">
        <v>57973</v>
      </c>
      <c r="D229" s="3">
        <v>97000</v>
      </c>
      <c r="E229" s="3">
        <f>112641-C229</f>
        <v>54668</v>
      </c>
      <c r="F229" s="3">
        <v>361544</v>
      </c>
      <c r="G229" s="4">
        <v>0</v>
      </c>
    </row>
    <row r="230" spans="1:7" ht="12.75" x14ac:dyDescent="0.35">
      <c r="A230" s="4">
        <v>2018</v>
      </c>
      <c r="B230" s="2" t="s">
        <v>34</v>
      </c>
      <c r="C230" s="3">
        <v>44766</v>
      </c>
      <c r="D230" s="3">
        <v>120833</v>
      </c>
      <c r="E230" s="3">
        <f>93955-C230</f>
        <v>49189</v>
      </c>
      <c r="F230" s="3">
        <v>352472</v>
      </c>
      <c r="G230" s="4">
        <v>0</v>
      </c>
    </row>
    <row r="231" spans="1:7" ht="12.75" x14ac:dyDescent="0.35">
      <c r="A231" s="4">
        <v>2017</v>
      </c>
      <c r="B231" s="2" t="s">
        <v>34</v>
      </c>
      <c r="C231" s="3">
        <v>35585</v>
      </c>
      <c r="D231" s="3">
        <v>74647</v>
      </c>
      <c r="E231" s="3">
        <f>78528-C231</f>
        <v>42943</v>
      </c>
      <c r="F231" s="3">
        <v>239786</v>
      </c>
      <c r="G231" s="4">
        <v>0</v>
      </c>
    </row>
    <row r="232" spans="1:7" ht="12.75" x14ac:dyDescent="0.35">
      <c r="A232" s="4">
        <v>2016</v>
      </c>
      <c r="B232" s="2" t="s">
        <v>34</v>
      </c>
      <c r="C232" s="3">
        <v>25412</v>
      </c>
      <c r="D232" s="3">
        <v>101596</v>
      </c>
      <c r="E232" s="3">
        <f>59637-C232</f>
        <v>34225</v>
      </c>
      <c r="F232" s="3">
        <v>207224</v>
      </c>
      <c r="G232" s="4">
        <v>0</v>
      </c>
    </row>
    <row r="233" spans="1:7" ht="12.75" x14ac:dyDescent="0.35">
      <c r="A233" s="4">
        <v>2024</v>
      </c>
      <c r="B233" s="2" t="s">
        <v>35</v>
      </c>
      <c r="C233" s="3">
        <v>61688</v>
      </c>
      <c r="D233" s="3">
        <v>169056</v>
      </c>
      <c r="E233" s="3">
        <f>571263-D233-C233</f>
        <v>340519</v>
      </c>
      <c r="F233" s="3">
        <v>591934</v>
      </c>
      <c r="G233" s="4">
        <v>1</v>
      </c>
    </row>
    <row r="234" spans="1:7" ht="12.75" x14ac:dyDescent="0.35">
      <c r="A234" s="4">
        <v>2023</v>
      </c>
      <c r="B234" s="2" t="s">
        <v>35</v>
      </c>
      <c r="C234" s="3">
        <v>59370</v>
      </c>
      <c r="D234" s="3">
        <v>170714</v>
      </c>
      <c r="E234" s="3">
        <f>577939-D234-C234</f>
        <v>347855</v>
      </c>
      <c r="F234" s="3">
        <v>562621</v>
      </c>
      <c r="G234" s="4">
        <v>0</v>
      </c>
    </row>
    <row r="235" spans="1:7" ht="12.75" x14ac:dyDescent="0.35">
      <c r="A235" s="4">
        <v>2022</v>
      </c>
      <c r="B235" s="2" t="s">
        <v>35</v>
      </c>
      <c r="C235" s="3">
        <v>60055</v>
      </c>
      <c r="D235" s="3">
        <v>182810</v>
      </c>
      <c r="E235" s="3">
        <f>615752-C235-D235</f>
        <v>372887</v>
      </c>
      <c r="F235" s="3">
        <v>647952</v>
      </c>
      <c r="G235" s="4">
        <v>0</v>
      </c>
    </row>
    <row r="236" spans="1:7" ht="12.75" x14ac:dyDescent="0.35">
      <c r="A236" s="4">
        <v>2021</v>
      </c>
      <c r="B236" s="2" t="s">
        <v>35</v>
      </c>
      <c r="C236" s="3">
        <v>55730</v>
      </c>
      <c r="D236" s="3">
        <v>146916</v>
      </c>
      <c r="E236" s="3">
        <f>532796-C236-D236</f>
        <v>330150</v>
      </c>
      <c r="F236" s="3">
        <v>552465</v>
      </c>
      <c r="G236" s="4">
        <v>0</v>
      </c>
    </row>
    <row r="237" spans="1:7" ht="12.75" x14ac:dyDescent="0.35">
      <c r="A237" s="4">
        <v>2020</v>
      </c>
      <c r="B237" s="2" t="s">
        <v>35</v>
      </c>
      <c r="C237" s="3">
        <v>51159</v>
      </c>
      <c r="D237" s="3">
        <v>108032</v>
      </c>
      <c r="E237" s="3">
        <f>452075-C237-D237</f>
        <v>292884</v>
      </c>
      <c r="F237" s="3">
        <v>437171</v>
      </c>
      <c r="G237" s="4">
        <v>0</v>
      </c>
    </row>
    <row r="238" spans="1:7" ht="12.75" x14ac:dyDescent="0.35">
      <c r="A238" s="4">
        <v>2019</v>
      </c>
      <c r="B238" s="2" t="s">
        <v>35</v>
      </c>
      <c r="C238" s="3">
        <v>112882</v>
      </c>
      <c r="D238" s="3">
        <v>194722</v>
      </c>
      <c r="E238" s="3">
        <f>792272-D238-C238</f>
        <v>484668</v>
      </c>
      <c r="F238" s="3">
        <v>735066</v>
      </c>
      <c r="G238" s="4">
        <v>0</v>
      </c>
    </row>
    <row r="239" spans="1:7" ht="12.75" x14ac:dyDescent="0.35">
      <c r="A239" s="4">
        <v>2018</v>
      </c>
      <c r="B239" s="2" t="s">
        <v>35</v>
      </c>
      <c r="C239" s="3">
        <v>112302</v>
      </c>
      <c r="D239" s="3">
        <v>230369</v>
      </c>
      <c r="E239" s="3">
        <f>877844-D239-C239</f>
        <v>535173</v>
      </c>
      <c r="F239" s="3">
        <v>875963</v>
      </c>
      <c r="G239" s="4">
        <v>0</v>
      </c>
    </row>
    <row r="240" spans="1:7" ht="12.75" x14ac:dyDescent="0.35">
      <c r="A240" s="4">
        <v>2024</v>
      </c>
      <c r="B240" s="2" t="s">
        <v>36</v>
      </c>
      <c r="C240" s="3">
        <v>19155</v>
      </c>
      <c r="D240" s="3">
        <v>82798</v>
      </c>
      <c r="E240" s="3">
        <v>146664</v>
      </c>
      <c r="F240" s="3">
        <v>239479</v>
      </c>
      <c r="G240" s="4">
        <v>1</v>
      </c>
    </row>
    <row r="241" spans="1:7" ht="12.75" x14ac:dyDescent="0.35">
      <c r="A241" s="4">
        <v>2023</v>
      </c>
      <c r="B241" s="2" t="s">
        <v>36</v>
      </c>
      <c r="C241" s="3">
        <v>64029</v>
      </c>
      <c r="D241" s="3">
        <v>25207</v>
      </c>
      <c r="E241" s="3">
        <v>116546</v>
      </c>
      <c r="F241" s="3">
        <v>208635</v>
      </c>
      <c r="G241" s="4">
        <v>0</v>
      </c>
    </row>
    <row r="242" spans="1:7" ht="12.75" x14ac:dyDescent="0.35">
      <c r="A242" s="4">
        <v>2022</v>
      </c>
      <c r="B242" s="2" t="s">
        <v>36</v>
      </c>
      <c r="C242" s="3">
        <v>33632</v>
      </c>
      <c r="D242" s="3">
        <v>117884</v>
      </c>
      <c r="E242" s="3">
        <v>114236</v>
      </c>
      <c r="F242" s="3">
        <v>250320</v>
      </c>
      <c r="G242" s="4">
        <v>0</v>
      </c>
    </row>
    <row r="243" spans="1:7" ht="12.75" x14ac:dyDescent="0.35">
      <c r="A243" s="4">
        <v>2021</v>
      </c>
      <c r="B243" s="2" t="s">
        <v>36</v>
      </c>
      <c r="C243" s="3">
        <v>32872</v>
      </c>
      <c r="D243" s="3">
        <v>125868</v>
      </c>
      <c r="E243" s="3">
        <v>106817</v>
      </c>
      <c r="F243" s="3">
        <v>270440</v>
      </c>
      <c r="G243" s="4">
        <v>0</v>
      </c>
    </row>
    <row r="244" spans="1:7" ht="12.75" x14ac:dyDescent="0.35">
      <c r="A244" s="4">
        <v>2020</v>
      </c>
      <c r="B244" s="2" t="s">
        <v>36</v>
      </c>
      <c r="C244" s="3">
        <v>26003</v>
      </c>
      <c r="D244" s="3">
        <v>74805</v>
      </c>
      <c r="E244" s="3">
        <v>77920</v>
      </c>
      <c r="F244" s="3">
        <v>217013</v>
      </c>
      <c r="G244" s="4">
        <v>0</v>
      </c>
    </row>
    <row r="245" spans="1:7" ht="12.75" x14ac:dyDescent="0.35">
      <c r="A245" s="4">
        <v>2019</v>
      </c>
      <c r="B245" s="2" t="s">
        <v>36</v>
      </c>
      <c r="C245" s="3">
        <v>34501</v>
      </c>
      <c r="D245" s="3">
        <v>121236</v>
      </c>
      <c r="E245" s="3">
        <v>101617</v>
      </c>
      <c r="F245" s="3">
        <v>289393</v>
      </c>
      <c r="G245" s="4">
        <v>0</v>
      </c>
    </row>
    <row r="246" spans="1:7" ht="12.75" x14ac:dyDescent="0.35">
      <c r="A246" s="4">
        <v>2018</v>
      </c>
      <c r="B246" s="2" t="s">
        <v>36</v>
      </c>
      <c r="C246" s="3">
        <v>33678</v>
      </c>
      <c r="D246" s="3">
        <v>119859</v>
      </c>
      <c r="E246" s="3">
        <v>96388</v>
      </c>
      <c r="F246" s="3">
        <v>274477</v>
      </c>
      <c r="G246" s="4">
        <v>0</v>
      </c>
    </row>
    <row r="247" spans="1:7" ht="12.75" x14ac:dyDescent="0.35">
      <c r="A247" s="4">
        <v>2017</v>
      </c>
      <c r="B247" s="2" t="s">
        <v>36</v>
      </c>
      <c r="C247" s="3">
        <v>36284</v>
      </c>
      <c r="D247" s="3">
        <v>84597</v>
      </c>
      <c r="E247" s="3">
        <v>71640</v>
      </c>
      <c r="F247" s="3">
        <v>211942</v>
      </c>
      <c r="G247" s="4">
        <v>0</v>
      </c>
    </row>
    <row r="248" spans="1:7" ht="12.75" x14ac:dyDescent="0.35">
      <c r="A248" s="4">
        <v>2024</v>
      </c>
      <c r="B248" s="2" t="s">
        <v>37</v>
      </c>
      <c r="C248" s="3">
        <v>77243</v>
      </c>
      <c r="D248" s="3">
        <v>533189</v>
      </c>
      <c r="E248" s="3">
        <v>1020576</v>
      </c>
      <c r="F248" s="3">
        <v>2632310</v>
      </c>
      <c r="G248" s="4">
        <v>1</v>
      </c>
    </row>
    <row r="249" spans="1:7" ht="12.75" x14ac:dyDescent="0.35">
      <c r="A249" s="4">
        <v>2023</v>
      </c>
      <c r="B249" s="2" t="s">
        <v>37</v>
      </c>
      <c r="C249" s="3">
        <v>76960</v>
      </c>
      <c r="D249" s="3">
        <v>505326</v>
      </c>
      <c r="E249" s="3">
        <v>969333</v>
      </c>
      <c r="F249" s="3">
        <v>2447442</v>
      </c>
      <c r="G249" s="4">
        <v>0</v>
      </c>
    </row>
    <row r="250" spans="1:7" ht="12.75" x14ac:dyDescent="0.35">
      <c r="A250" s="4">
        <v>2022</v>
      </c>
      <c r="B250" s="2" t="s">
        <v>37</v>
      </c>
      <c r="C250" s="3">
        <v>72665</v>
      </c>
      <c r="D250" s="3">
        <v>527094</v>
      </c>
      <c r="E250" s="3">
        <v>1018399</v>
      </c>
      <c r="F250" s="3">
        <v>2586665</v>
      </c>
      <c r="G250" s="4">
        <v>0</v>
      </c>
    </row>
    <row r="251" spans="1:7" ht="12.75" x14ac:dyDescent="0.35">
      <c r="A251" s="4">
        <v>2021</v>
      </c>
      <c r="B251" s="2" t="s">
        <v>37</v>
      </c>
      <c r="C251" s="3">
        <v>68998</v>
      </c>
      <c r="D251" s="3">
        <v>516460</v>
      </c>
      <c r="E251" s="3">
        <v>1066553</v>
      </c>
      <c r="F251" s="3">
        <v>2554881</v>
      </c>
      <c r="G251" s="4">
        <v>0</v>
      </c>
    </row>
    <row r="252" spans="1:7" ht="12.75" x14ac:dyDescent="0.35">
      <c r="A252" s="4">
        <v>2020</v>
      </c>
      <c r="B252" s="2" t="s">
        <v>37</v>
      </c>
      <c r="C252" s="3">
        <v>64751</v>
      </c>
      <c r="D252" s="3">
        <v>486926</v>
      </c>
      <c r="E252" s="3">
        <v>992834</v>
      </c>
      <c r="F252" s="3">
        <v>2211744</v>
      </c>
      <c r="G252" s="4">
        <v>0</v>
      </c>
    </row>
    <row r="253" spans="1:7" ht="12.75" x14ac:dyDescent="0.35">
      <c r="A253" s="4">
        <v>2019</v>
      </c>
      <c r="B253" s="2" t="s">
        <v>37</v>
      </c>
      <c r="C253" s="3">
        <v>61950</v>
      </c>
      <c r="D253" s="3">
        <v>471994</v>
      </c>
      <c r="E253" s="3">
        <v>1037279</v>
      </c>
      <c r="F253" s="3">
        <v>2151801</v>
      </c>
      <c r="G253" s="4">
        <v>0</v>
      </c>
    </row>
    <row r="254" spans="1:7" ht="12.75" x14ac:dyDescent="0.35">
      <c r="A254" s="4">
        <v>2018</v>
      </c>
      <c r="B254" s="2" t="s">
        <v>37</v>
      </c>
      <c r="C254" s="3">
        <v>56164</v>
      </c>
      <c r="D254" s="3">
        <v>454444</v>
      </c>
      <c r="E254" s="3">
        <v>958240</v>
      </c>
      <c r="F254" s="3">
        <v>1971478</v>
      </c>
      <c r="G254" s="4">
        <v>0</v>
      </c>
    </row>
    <row r="255" spans="1:7" ht="12.75" x14ac:dyDescent="0.35">
      <c r="A255" s="4">
        <v>2017</v>
      </c>
      <c r="B255" s="2" t="s">
        <v>37</v>
      </c>
      <c r="C255" s="3">
        <v>51985</v>
      </c>
      <c r="D255" s="3">
        <v>373536</v>
      </c>
      <c r="E255" s="3">
        <v>877327</v>
      </c>
      <c r="F255" s="3">
        <v>1732985</v>
      </c>
      <c r="G255" s="4">
        <v>0</v>
      </c>
    </row>
    <row r="256" spans="1:7" ht="12.75" x14ac:dyDescent="0.35">
      <c r="A256" s="4">
        <v>2024</v>
      </c>
      <c r="B256" s="2" t="s">
        <v>38</v>
      </c>
      <c r="C256" s="3">
        <f>1301037-D256-E256</f>
        <v>616618</v>
      </c>
      <c r="D256" s="3">
        <v>373907</v>
      </c>
      <c r="E256" s="3">
        <f>225391+85121</f>
        <v>310512</v>
      </c>
      <c r="F256" s="3">
        <v>2311035</v>
      </c>
      <c r="G256" s="4">
        <v>1</v>
      </c>
    </row>
    <row r="257" spans="1:7" ht="12.75" x14ac:dyDescent="0.35">
      <c r="A257" s="4">
        <v>2023</v>
      </c>
      <c r="B257" s="2" t="s">
        <v>38</v>
      </c>
      <c r="C257" s="3">
        <f>1180488-D257-E257</f>
        <v>588221</v>
      </c>
      <c r="D257" s="3">
        <v>287054</v>
      </c>
      <c r="E257" s="3">
        <f>220373+84840</f>
        <v>305213</v>
      </c>
      <c r="F257" s="3">
        <v>2125543</v>
      </c>
      <c r="G257" s="4">
        <v>0</v>
      </c>
    </row>
    <row r="258" spans="1:7" ht="12.75" x14ac:dyDescent="0.35">
      <c r="A258" s="4">
        <v>2022</v>
      </c>
      <c r="B258" s="2" t="s">
        <v>38</v>
      </c>
      <c r="C258" s="3">
        <f>1092351-D258-E258</f>
        <v>503220</v>
      </c>
      <c r="D258" s="3">
        <v>319972</v>
      </c>
      <c r="E258" s="3">
        <f>205651+63508</f>
        <v>269159</v>
      </c>
      <c r="F258" s="3">
        <v>2086059</v>
      </c>
      <c r="G258" s="4">
        <v>0</v>
      </c>
    </row>
    <row r="259" spans="1:7" ht="12.75" x14ac:dyDescent="0.35">
      <c r="A259" s="4">
        <v>2021</v>
      </c>
      <c r="B259" s="2" t="s">
        <v>38</v>
      </c>
      <c r="C259" s="3">
        <f>1176414-D259-E259</f>
        <v>624315</v>
      </c>
      <c r="D259" s="3">
        <v>300150</v>
      </c>
      <c r="E259" s="3">
        <f>184883+67066</f>
        <v>251949</v>
      </c>
      <c r="F259" s="3">
        <v>1831957</v>
      </c>
      <c r="G259" s="4">
        <v>0</v>
      </c>
    </row>
    <row r="260" spans="1:7" ht="12.75" x14ac:dyDescent="0.35">
      <c r="A260" s="4">
        <v>2020</v>
      </c>
      <c r="B260" s="2" t="s">
        <v>38</v>
      </c>
      <c r="C260" s="3">
        <f>1297701-D260-E260</f>
        <v>566782</v>
      </c>
      <c r="D260" s="3">
        <v>474603</v>
      </c>
      <c r="E260" s="3">
        <f>184565+71751</f>
        <v>256316</v>
      </c>
      <c r="F260" s="3">
        <v>1622319</v>
      </c>
      <c r="G260" s="4">
        <v>0</v>
      </c>
    </row>
    <row r="261" spans="1:7" ht="12.75" x14ac:dyDescent="0.35">
      <c r="A261" s="4">
        <v>2024</v>
      </c>
      <c r="B261" s="2" t="s">
        <v>39</v>
      </c>
      <c r="C261" s="3">
        <v>743852</v>
      </c>
      <c r="D261" s="3">
        <v>1669143</v>
      </c>
      <c r="E261" s="3">
        <f>4249546-D261-C261</f>
        <v>1836551</v>
      </c>
      <c r="F261" s="3">
        <v>5441260</v>
      </c>
      <c r="G261" s="4">
        <v>1</v>
      </c>
    </row>
    <row r="262" spans="1:7" ht="12.75" x14ac:dyDescent="0.35">
      <c r="A262" s="4">
        <v>2023</v>
      </c>
      <c r="B262" s="2" t="s">
        <v>39</v>
      </c>
      <c r="C262" s="3">
        <v>728878</v>
      </c>
      <c r="D262" s="3">
        <v>1933893</v>
      </c>
      <c r="E262" s="3">
        <f>4509469-D262-C262</f>
        <v>1846698</v>
      </c>
      <c r="F262" s="3">
        <v>5913365</v>
      </c>
      <c r="G262" s="4">
        <v>0</v>
      </c>
    </row>
    <row r="263" spans="1:7" ht="12.75" x14ac:dyDescent="0.35">
      <c r="A263" s="4">
        <v>2022</v>
      </c>
      <c r="B263" s="2" t="s">
        <v>39</v>
      </c>
      <c r="C263" s="3">
        <v>663761</v>
      </c>
      <c r="D263" s="3">
        <v>1712591</v>
      </c>
      <c r="E263" s="3">
        <f>4258312-D263-C263</f>
        <v>1881960</v>
      </c>
      <c r="F263" s="3">
        <v>5571767</v>
      </c>
      <c r="G263" s="4">
        <v>0</v>
      </c>
    </row>
    <row r="264" spans="1:7" ht="12.75" x14ac:dyDescent="0.35">
      <c r="A264" s="4">
        <v>2021</v>
      </c>
      <c r="B264" s="2" t="s">
        <v>39</v>
      </c>
      <c r="C264" s="3">
        <v>603243</v>
      </c>
      <c r="D264" s="3">
        <v>1300000</v>
      </c>
      <c r="E264" s="3">
        <f>3613603-D264-C264</f>
        <v>1710360</v>
      </c>
      <c r="F264" s="3">
        <v>4748139</v>
      </c>
      <c r="G264" s="4">
        <v>0</v>
      </c>
    </row>
    <row r="265" spans="1:7" ht="12.75" x14ac:dyDescent="0.35">
      <c r="A265" s="4">
        <v>2020</v>
      </c>
      <c r="B265" s="2" t="s">
        <v>39</v>
      </c>
      <c r="C265" s="3">
        <v>517608</v>
      </c>
      <c r="D265" s="3">
        <v>1197632</v>
      </c>
      <c r="E265" s="3">
        <f>3291898-D265-C265</f>
        <v>1576658</v>
      </c>
      <c r="F265" s="3">
        <v>3767789</v>
      </c>
      <c r="G265" s="4">
        <v>0</v>
      </c>
    </row>
    <row r="266" spans="1:7" ht="12.75" x14ac:dyDescent="0.35">
      <c r="A266" s="2">
        <v>2019</v>
      </c>
      <c r="B266" s="2" t="s">
        <v>39</v>
      </c>
      <c r="C266" s="3">
        <v>567434</v>
      </c>
      <c r="D266" s="3">
        <v>1354681</v>
      </c>
      <c r="E266" s="3">
        <f>3874497-D266-C266</f>
        <v>1952382</v>
      </c>
      <c r="F266" s="3">
        <v>4289776</v>
      </c>
      <c r="G266" s="4">
        <v>0</v>
      </c>
    </row>
    <row r="267" spans="1:7" ht="12.75" x14ac:dyDescent="0.35">
      <c r="A267" s="4">
        <v>2018</v>
      </c>
      <c r="B267" s="2" t="s">
        <v>39</v>
      </c>
      <c r="C267" s="3">
        <v>559073</v>
      </c>
      <c r="D267" s="3">
        <v>1271665</v>
      </c>
      <c r="E267" s="3">
        <f>3803083-D267-C267</f>
        <v>1972345</v>
      </c>
      <c r="F267" s="3">
        <v>4443262</v>
      </c>
      <c r="G267" s="4">
        <v>0</v>
      </c>
    </row>
    <row r="268" spans="1:7" ht="12.75" x14ac:dyDescent="0.35">
      <c r="A268" s="2">
        <v>2017</v>
      </c>
      <c r="B268" s="2" t="s">
        <v>39</v>
      </c>
      <c r="C268" s="3">
        <v>499285</v>
      </c>
      <c r="D268" s="3">
        <v>1150838</v>
      </c>
      <c r="E268" s="3">
        <f>3424416-D268-C268</f>
        <v>1774293</v>
      </c>
      <c r="F268" s="3">
        <v>3885791</v>
      </c>
      <c r="G268" s="4">
        <v>0</v>
      </c>
    </row>
    <row r="269" spans="1:7" ht="12.75" x14ac:dyDescent="0.35">
      <c r="A269" s="4">
        <v>2016</v>
      </c>
      <c r="B269" s="2" t="s">
        <v>39</v>
      </c>
      <c r="C269" s="3">
        <v>424472</v>
      </c>
      <c r="D269" s="3">
        <v>1026395</v>
      </c>
      <c r="E269" s="3">
        <f>2923621-D269-C269</f>
        <v>1472754</v>
      </c>
      <c r="F269" s="3">
        <v>3724075</v>
      </c>
      <c r="G269" s="4">
        <v>0</v>
      </c>
    </row>
    <row r="270" spans="1:7" ht="12.75" x14ac:dyDescent="0.35">
      <c r="A270" s="2">
        <v>2015</v>
      </c>
      <c r="B270" s="2" t="s">
        <v>39</v>
      </c>
      <c r="C270" s="3">
        <v>231188</v>
      </c>
      <c r="D270" s="3">
        <v>1148085</v>
      </c>
      <c r="E270" s="3">
        <f>2853958-D270-C270</f>
        <v>1474685</v>
      </c>
      <c r="F270" s="3">
        <v>3665989</v>
      </c>
      <c r="G270" s="4">
        <v>0</v>
      </c>
    </row>
    <row r="271" spans="1:7" ht="12.75" x14ac:dyDescent="0.35">
      <c r="C271" s="3"/>
      <c r="D271" s="3"/>
      <c r="E271" s="3"/>
      <c r="F271" s="3"/>
    </row>
    <row r="272" spans="1:7" ht="12.75" x14ac:dyDescent="0.35">
      <c r="C272" s="3"/>
      <c r="D272" s="3"/>
      <c r="E272" s="3"/>
      <c r="F272" s="3"/>
    </row>
    <row r="273" spans="3:6" ht="12.75" x14ac:dyDescent="0.35">
      <c r="C273" s="3"/>
      <c r="D273" s="3"/>
      <c r="E273" s="3"/>
      <c r="F273" s="3"/>
    </row>
    <row r="274" spans="3:6" ht="12.75" x14ac:dyDescent="0.35">
      <c r="C274" s="3"/>
      <c r="D274" s="3"/>
      <c r="E274" s="3"/>
      <c r="F274" s="3"/>
    </row>
    <row r="275" spans="3:6" ht="12.75" x14ac:dyDescent="0.35">
      <c r="C275" s="3"/>
      <c r="D275" s="3"/>
      <c r="E275" s="3"/>
      <c r="F275" s="3"/>
    </row>
    <row r="276" spans="3:6" ht="12.75" x14ac:dyDescent="0.35">
      <c r="C276" s="3"/>
      <c r="D276" s="3"/>
      <c r="E276" s="3"/>
      <c r="F276" s="3"/>
    </row>
    <row r="277" spans="3:6" ht="12.75" x14ac:dyDescent="0.35">
      <c r="C277" s="3"/>
      <c r="D277" s="3"/>
      <c r="E277" s="3"/>
      <c r="F277" s="3"/>
    </row>
    <row r="278" spans="3:6" ht="12.75" x14ac:dyDescent="0.35">
      <c r="C278" s="3"/>
      <c r="D278" s="3"/>
      <c r="E278" s="3"/>
      <c r="F278" s="3"/>
    </row>
    <row r="279" spans="3:6" ht="12.75" x14ac:dyDescent="0.35">
      <c r="C279" s="3"/>
      <c r="D279" s="3"/>
      <c r="E279" s="3"/>
      <c r="F279" s="3"/>
    </row>
    <row r="280" spans="3:6" ht="12.75" x14ac:dyDescent="0.35">
      <c r="C280" s="3"/>
      <c r="D280" s="3"/>
      <c r="E280" s="3"/>
      <c r="F280" s="3"/>
    </row>
    <row r="281" spans="3:6" ht="12.75" x14ac:dyDescent="0.35">
      <c r="C281" s="3"/>
      <c r="D281" s="3"/>
      <c r="E281" s="3"/>
      <c r="F281" s="3"/>
    </row>
    <row r="282" spans="3:6" ht="12.75" x14ac:dyDescent="0.35">
      <c r="C282" s="3"/>
      <c r="D282" s="3"/>
      <c r="E282" s="3"/>
      <c r="F282" s="3"/>
    </row>
    <row r="283" spans="3:6" ht="12.75" x14ac:dyDescent="0.35">
      <c r="C283" s="3"/>
      <c r="D283" s="3"/>
      <c r="E283" s="3"/>
      <c r="F283" s="3"/>
    </row>
    <row r="284" spans="3:6" ht="12.75" x14ac:dyDescent="0.35">
      <c r="C284" s="3"/>
      <c r="D284" s="3"/>
      <c r="E284" s="3"/>
      <c r="F284" s="3"/>
    </row>
    <row r="285" spans="3:6" ht="12.75" x14ac:dyDescent="0.35">
      <c r="C285" s="3"/>
      <c r="D285" s="3"/>
      <c r="E285" s="3"/>
      <c r="F285" s="3"/>
    </row>
    <row r="286" spans="3:6" ht="12.75" x14ac:dyDescent="0.35">
      <c r="C286" s="3"/>
      <c r="D286" s="3"/>
      <c r="E286" s="3"/>
      <c r="F286" s="3"/>
    </row>
    <row r="287" spans="3:6" ht="12.75" x14ac:dyDescent="0.35">
      <c r="C287" s="3"/>
      <c r="D287" s="3"/>
      <c r="E287" s="3"/>
      <c r="F287" s="3"/>
    </row>
    <row r="288" spans="3:6" ht="12.75" x14ac:dyDescent="0.35">
      <c r="C288" s="3"/>
      <c r="D288" s="3"/>
      <c r="E288" s="3"/>
      <c r="F288" s="3"/>
    </row>
    <row r="289" spans="3:6" ht="12.75" x14ac:dyDescent="0.35">
      <c r="C289" s="3"/>
      <c r="D289" s="3"/>
      <c r="E289" s="3"/>
      <c r="F289" s="3"/>
    </row>
    <row r="290" spans="3:6" ht="12.75" x14ac:dyDescent="0.35">
      <c r="C290" s="3"/>
      <c r="D290" s="3"/>
      <c r="E290" s="3"/>
      <c r="F290" s="3"/>
    </row>
    <row r="291" spans="3:6" ht="12.75" x14ac:dyDescent="0.35">
      <c r="C291" s="3"/>
      <c r="D291" s="3"/>
      <c r="E291" s="3"/>
      <c r="F291" s="3"/>
    </row>
    <row r="292" spans="3:6" ht="12.75" x14ac:dyDescent="0.35">
      <c r="C292" s="3"/>
      <c r="D292" s="3"/>
      <c r="E292" s="3"/>
      <c r="F292" s="3"/>
    </row>
    <row r="293" spans="3:6" ht="12.75" x14ac:dyDescent="0.35">
      <c r="C293" s="3"/>
      <c r="D293" s="3"/>
      <c r="E293" s="3"/>
      <c r="F293" s="3"/>
    </row>
    <row r="294" spans="3:6" ht="12.75" x14ac:dyDescent="0.35">
      <c r="C294" s="3"/>
      <c r="D294" s="3"/>
      <c r="E294" s="3"/>
      <c r="F294" s="3"/>
    </row>
    <row r="295" spans="3:6" ht="12.75" x14ac:dyDescent="0.35">
      <c r="C295" s="3"/>
      <c r="D295" s="3"/>
      <c r="E295" s="3"/>
      <c r="F295" s="3"/>
    </row>
    <row r="296" spans="3:6" ht="12.75" x14ac:dyDescent="0.35">
      <c r="C296" s="3"/>
      <c r="D296" s="3"/>
      <c r="E296" s="3"/>
      <c r="F296" s="3"/>
    </row>
    <row r="297" spans="3:6" ht="12.75" x14ac:dyDescent="0.35">
      <c r="C297" s="3"/>
      <c r="D297" s="3"/>
      <c r="E297" s="3"/>
      <c r="F297" s="3"/>
    </row>
    <row r="298" spans="3:6" ht="12.75" x14ac:dyDescent="0.35">
      <c r="C298" s="3"/>
      <c r="D298" s="3"/>
      <c r="E298" s="3"/>
      <c r="F298" s="3"/>
    </row>
    <row r="299" spans="3:6" ht="12.75" x14ac:dyDescent="0.35">
      <c r="C299" s="3"/>
      <c r="D299" s="3"/>
      <c r="E299" s="3"/>
      <c r="F299" s="3"/>
    </row>
    <row r="300" spans="3:6" ht="12.75" x14ac:dyDescent="0.35">
      <c r="C300" s="3"/>
      <c r="D300" s="3"/>
      <c r="E300" s="3"/>
      <c r="F300" s="3"/>
    </row>
    <row r="301" spans="3:6" ht="12.75" x14ac:dyDescent="0.35">
      <c r="C301" s="3"/>
      <c r="D301" s="3"/>
      <c r="E301" s="3"/>
      <c r="F301" s="3"/>
    </row>
    <row r="302" spans="3:6" ht="12.75" x14ac:dyDescent="0.35">
      <c r="C302" s="3"/>
      <c r="D302" s="3"/>
      <c r="E302" s="3"/>
      <c r="F302" s="3"/>
    </row>
    <row r="303" spans="3:6" ht="12.75" x14ac:dyDescent="0.35">
      <c r="C303" s="3"/>
      <c r="D303" s="3"/>
      <c r="E303" s="3"/>
      <c r="F303" s="3"/>
    </row>
    <row r="304" spans="3:6" ht="12.75" x14ac:dyDescent="0.35">
      <c r="C304" s="3"/>
      <c r="D304" s="3"/>
      <c r="E304" s="3"/>
      <c r="F304" s="3"/>
    </row>
    <row r="305" spans="3:6" ht="12.75" x14ac:dyDescent="0.35">
      <c r="C305" s="3"/>
      <c r="D305" s="3"/>
      <c r="E305" s="3"/>
      <c r="F305" s="3"/>
    </row>
    <row r="306" spans="3:6" ht="12.75" x14ac:dyDescent="0.35">
      <c r="C306" s="3"/>
      <c r="D306" s="3"/>
      <c r="E306" s="3"/>
      <c r="F306" s="3"/>
    </row>
    <row r="307" spans="3:6" ht="12.75" x14ac:dyDescent="0.35">
      <c r="C307" s="3"/>
      <c r="D307" s="3"/>
      <c r="E307" s="3"/>
      <c r="F307" s="3"/>
    </row>
    <row r="308" spans="3:6" ht="12.75" x14ac:dyDescent="0.35">
      <c r="C308" s="3"/>
      <c r="D308" s="3"/>
      <c r="E308" s="3"/>
      <c r="F308" s="3"/>
    </row>
    <row r="309" spans="3:6" ht="12.75" x14ac:dyDescent="0.35">
      <c r="C309" s="3"/>
      <c r="D309" s="3"/>
      <c r="E309" s="3"/>
      <c r="F309" s="3"/>
    </row>
    <row r="310" spans="3:6" ht="12.75" x14ac:dyDescent="0.35">
      <c r="C310" s="3"/>
      <c r="D310" s="3"/>
      <c r="E310" s="3"/>
      <c r="F310" s="3"/>
    </row>
    <row r="311" spans="3:6" ht="12.75" x14ac:dyDescent="0.35">
      <c r="C311" s="3"/>
      <c r="D311" s="3"/>
      <c r="E311" s="3"/>
      <c r="F311" s="3"/>
    </row>
    <row r="312" spans="3:6" ht="12.75" x14ac:dyDescent="0.35">
      <c r="C312" s="3"/>
      <c r="D312" s="3"/>
      <c r="E312" s="3"/>
      <c r="F312" s="3"/>
    </row>
    <row r="313" spans="3:6" ht="12.75" x14ac:dyDescent="0.35">
      <c r="C313" s="3"/>
      <c r="D313" s="3"/>
      <c r="E313" s="3"/>
      <c r="F313" s="3"/>
    </row>
    <row r="314" spans="3:6" ht="12.75" x14ac:dyDescent="0.35">
      <c r="C314" s="3"/>
      <c r="D314" s="3"/>
      <c r="E314" s="3"/>
      <c r="F314" s="3"/>
    </row>
    <row r="315" spans="3:6" ht="12.75" x14ac:dyDescent="0.35">
      <c r="C315" s="3"/>
      <c r="D315" s="3"/>
      <c r="E315" s="3"/>
      <c r="F315" s="3"/>
    </row>
    <row r="316" spans="3:6" ht="12.75" x14ac:dyDescent="0.35">
      <c r="C316" s="3"/>
      <c r="D316" s="3"/>
      <c r="E316" s="3"/>
      <c r="F316" s="3"/>
    </row>
    <row r="317" spans="3:6" ht="12.75" x14ac:dyDescent="0.35">
      <c r="C317" s="3"/>
      <c r="D317" s="3"/>
      <c r="E317" s="3"/>
      <c r="F317" s="3"/>
    </row>
    <row r="318" spans="3:6" ht="12.75" x14ac:dyDescent="0.35">
      <c r="C318" s="3"/>
      <c r="D318" s="3"/>
      <c r="E318" s="3"/>
      <c r="F318" s="3"/>
    </row>
    <row r="319" spans="3:6" ht="12.75" x14ac:dyDescent="0.35">
      <c r="C319" s="3"/>
      <c r="D319" s="3"/>
      <c r="E319" s="3"/>
      <c r="F319" s="3"/>
    </row>
    <row r="320" spans="3:6" ht="12.75" x14ac:dyDescent="0.35">
      <c r="C320" s="3"/>
      <c r="D320" s="3"/>
      <c r="E320" s="3"/>
      <c r="F320" s="3"/>
    </row>
    <row r="321" spans="3:6" ht="12.75" x14ac:dyDescent="0.35">
      <c r="C321" s="3"/>
      <c r="D321" s="3"/>
      <c r="E321" s="3"/>
      <c r="F321" s="3"/>
    </row>
    <row r="322" spans="3:6" ht="12.75" x14ac:dyDescent="0.35">
      <c r="C322" s="3"/>
      <c r="D322" s="3"/>
      <c r="E322" s="3"/>
      <c r="F322" s="3"/>
    </row>
    <row r="323" spans="3:6" ht="12.75" x14ac:dyDescent="0.35">
      <c r="C323" s="3"/>
      <c r="D323" s="3"/>
      <c r="E323" s="3"/>
      <c r="F323" s="3"/>
    </row>
    <row r="324" spans="3:6" ht="12.75" x14ac:dyDescent="0.35">
      <c r="C324" s="3"/>
      <c r="D324" s="3"/>
      <c r="E324" s="3"/>
      <c r="F324" s="3"/>
    </row>
    <row r="325" spans="3:6" ht="12.75" x14ac:dyDescent="0.35">
      <c r="C325" s="3"/>
      <c r="D325" s="3"/>
      <c r="E325" s="3"/>
      <c r="F325" s="3"/>
    </row>
    <row r="326" spans="3:6" ht="12.75" x14ac:dyDescent="0.35">
      <c r="C326" s="3"/>
      <c r="D326" s="3"/>
      <c r="E326" s="3"/>
      <c r="F326" s="3"/>
    </row>
    <row r="327" spans="3:6" ht="12.75" x14ac:dyDescent="0.35">
      <c r="C327" s="3"/>
      <c r="D327" s="3"/>
      <c r="E327" s="3"/>
      <c r="F327" s="3"/>
    </row>
    <row r="328" spans="3:6" ht="12.75" x14ac:dyDescent="0.35">
      <c r="C328" s="3"/>
      <c r="D328" s="3"/>
      <c r="E328" s="3"/>
      <c r="F328" s="3"/>
    </row>
    <row r="329" spans="3:6" ht="12.75" x14ac:dyDescent="0.35">
      <c r="C329" s="3"/>
      <c r="D329" s="3"/>
      <c r="E329" s="3"/>
      <c r="F329" s="3"/>
    </row>
    <row r="330" spans="3:6" ht="12.75" x14ac:dyDescent="0.35">
      <c r="C330" s="3"/>
      <c r="D330" s="3"/>
      <c r="E330" s="3"/>
      <c r="F330" s="3"/>
    </row>
    <row r="331" spans="3:6" ht="12.75" x14ac:dyDescent="0.35">
      <c r="C331" s="3"/>
      <c r="D331" s="3"/>
      <c r="E331" s="3"/>
      <c r="F331" s="3"/>
    </row>
    <row r="332" spans="3:6" ht="12.75" x14ac:dyDescent="0.35">
      <c r="C332" s="3"/>
      <c r="D332" s="3"/>
      <c r="E332" s="3"/>
      <c r="F332" s="3"/>
    </row>
    <row r="333" spans="3:6" ht="12.75" x14ac:dyDescent="0.35">
      <c r="C333" s="3"/>
      <c r="D333" s="3"/>
      <c r="E333" s="3"/>
      <c r="F333" s="3"/>
    </row>
    <row r="334" spans="3:6" ht="12.75" x14ac:dyDescent="0.35">
      <c r="C334" s="3"/>
      <c r="D334" s="3"/>
      <c r="E334" s="3"/>
      <c r="F334" s="3"/>
    </row>
    <row r="335" spans="3:6" ht="12.75" x14ac:dyDescent="0.35">
      <c r="C335" s="3"/>
      <c r="D335" s="3"/>
      <c r="E335" s="3"/>
      <c r="F335" s="3"/>
    </row>
    <row r="336" spans="3:6" ht="12.75" x14ac:dyDescent="0.35">
      <c r="C336" s="3"/>
      <c r="D336" s="3"/>
      <c r="E336" s="3"/>
      <c r="F336" s="3"/>
    </row>
    <row r="337" spans="3:6" ht="12.75" x14ac:dyDescent="0.35">
      <c r="C337" s="3"/>
      <c r="D337" s="3"/>
      <c r="E337" s="3"/>
      <c r="F337" s="3"/>
    </row>
    <row r="338" spans="3:6" ht="12.75" x14ac:dyDescent="0.35">
      <c r="C338" s="3"/>
      <c r="D338" s="3"/>
      <c r="E338" s="3"/>
      <c r="F338" s="3"/>
    </row>
    <row r="339" spans="3:6" ht="12.75" x14ac:dyDescent="0.35">
      <c r="C339" s="3"/>
      <c r="D339" s="3"/>
      <c r="E339" s="3"/>
      <c r="F339" s="3"/>
    </row>
    <row r="340" spans="3:6" ht="12.75" x14ac:dyDescent="0.35">
      <c r="C340" s="3"/>
      <c r="D340" s="3"/>
      <c r="E340" s="3"/>
      <c r="F340" s="3"/>
    </row>
    <row r="341" spans="3:6" ht="12.75" x14ac:dyDescent="0.35">
      <c r="C341" s="3"/>
      <c r="D341" s="3"/>
      <c r="E341" s="3"/>
      <c r="F341" s="3"/>
    </row>
    <row r="342" spans="3:6" ht="12.75" x14ac:dyDescent="0.35">
      <c r="C342" s="3"/>
      <c r="D342" s="3"/>
      <c r="E342" s="3"/>
      <c r="F342" s="3"/>
    </row>
    <row r="343" spans="3:6" ht="12.75" x14ac:dyDescent="0.35">
      <c r="C343" s="3"/>
      <c r="D343" s="3"/>
      <c r="E343" s="3"/>
      <c r="F343" s="3"/>
    </row>
    <row r="344" spans="3:6" ht="12.75" x14ac:dyDescent="0.35">
      <c r="C344" s="3"/>
      <c r="D344" s="3"/>
      <c r="E344" s="3"/>
      <c r="F344" s="3"/>
    </row>
    <row r="345" spans="3:6" ht="12.75" x14ac:dyDescent="0.35">
      <c r="C345" s="3"/>
      <c r="D345" s="3"/>
      <c r="E345" s="3"/>
      <c r="F345" s="3"/>
    </row>
    <row r="346" spans="3:6" ht="12.75" x14ac:dyDescent="0.35">
      <c r="C346" s="3"/>
      <c r="D346" s="3"/>
      <c r="E346" s="3"/>
      <c r="F346" s="3"/>
    </row>
    <row r="347" spans="3:6" ht="12.75" x14ac:dyDescent="0.35">
      <c r="C347" s="3"/>
      <c r="D347" s="3"/>
      <c r="E347" s="3"/>
      <c r="F347" s="3"/>
    </row>
    <row r="348" spans="3:6" ht="12.75" x14ac:dyDescent="0.35">
      <c r="C348" s="3"/>
      <c r="D348" s="3"/>
      <c r="E348" s="3"/>
      <c r="F348" s="3"/>
    </row>
    <row r="349" spans="3:6" ht="12.75" x14ac:dyDescent="0.35">
      <c r="C349" s="3"/>
      <c r="D349" s="3"/>
      <c r="E349" s="3"/>
      <c r="F349" s="3"/>
    </row>
    <row r="350" spans="3:6" ht="12.75" x14ac:dyDescent="0.35">
      <c r="C350" s="3"/>
      <c r="D350" s="3"/>
      <c r="E350" s="3"/>
      <c r="F350" s="3"/>
    </row>
    <row r="351" spans="3:6" ht="12.75" x14ac:dyDescent="0.35">
      <c r="C351" s="3"/>
      <c r="D351" s="3"/>
      <c r="E351" s="3"/>
      <c r="F351" s="3"/>
    </row>
    <row r="352" spans="3:6" ht="12.75" x14ac:dyDescent="0.35">
      <c r="C352" s="3"/>
      <c r="D352" s="3"/>
      <c r="E352" s="3"/>
      <c r="F352" s="3"/>
    </row>
    <row r="353" spans="3:6" ht="12.75" x14ac:dyDescent="0.35">
      <c r="C353" s="3"/>
      <c r="D353" s="3"/>
      <c r="E353" s="3"/>
      <c r="F353" s="3"/>
    </row>
    <row r="354" spans="3:6" ht="12.75" x14ac:dyDescent="0.35">
      <c r="C354" s="3"/>
      <c r="D354" s="3"/>
      <c r="E354" s="3"/>
      <c r="F354" s="3"/>
    </row>
    <row r="355" spans="3:6" ht="12.75" x14ac:dyDescent="0.35">
      <c r="C355" s="3"/>
      <c r="D355" s="3"/>
      <c r="E355" s="3"/>
      <c r="F355" s="3"/>
    </row>
    <row r="356" spans="3:6" ht="12.75" x14ac:dyDescent="0.35">
      <c r="C356" s="3"/>
      <c r="D356" s="3"/>
      <c r="E356" s="3"/>
      <c r="F356" s="3"/>
    </row>
    <row r="357" spans="3:6" ht="12.75" x14ac:dyDescent="0.35">
      <c r="C357" s="3"/>
      <c r="D357" s="3"/>
      <c r="E357" s="3"/>
      <c r="F357" s="3"/>
    </row>
    <row r="358" spans="3:6" ht="12.75" x14ac:dyDescent="0.35">
      <c r="C358" s="3"/>
      <c r="D358" s="3"/>
      <c r="E358" s="3"/>
      <c r="F358" s="3"/>
    </row>
    <row r="359" spans="3:6" ht="12.75" x14ac:dyDescent="0.35">
      <c r="C359" s="3"/>
      <c r="D359" s="3"/>
      <c r="E359" s="3"/>
      <c r="F359" s="3"/>
    </row>
    <row r="360" spans="3:6" ht="12.75" x14ac:dyDescent="0.35">
      <c r="C360" s="3"/>
      <c r="D360" s="3"/>
      <c r="E360" s="3"/>
      <c r="F360" s="3"/>
    </row>
    <row r="361" spans="3:6" ht="12.75" x14ac:dyDescent="0.35">
      <c r="C361" s="3"/>
      <c r="D361" s="3"/>
      <c r="E361" s="3"/>
      <c r="F361" s="3"/>
    </row>
    <row r="362" spans="3:6" ht="12.75" x14ac:dyDescent="0.35">
      <c r="C362" s="3"/>
      <c r="D362" s="3"/>
      <c r="E362" s="3"/>
      <c r="F362" s="3"/>
    </row>
    <row r="363" spans="3:6" ht="12.75" x14ac:dyDescent="0.35">
      <c r="C363" s="3"/>
      <c r="D363" s="3"/>
      <c r="E363" s="3"/>
      <c r="F363" s="3"/>
    </row>
    <row r="364" spans="3:6" ht="12.75" x14ac:dyDescent="0.35">
      <c r="C364" s="3"/>
      <c r="D364" s="3"/>
      <c r="E364" s="3"/>
      <c r="F364" s="3"/>
    </row>
    <row r="365" spans="3:6" ht="12.75" x14ac:dyDescent="0.35">
      <c r="C365" s="3"/>
      <c r="D365" s="3"/>
      <c r="E365" s="3"/>
      <c r="F365" s="3"/>
    </row>
    <row r="366" spans="3:6" ht="12.75" x14ac:dyDescent="0.35">
      <c r="C366" s="3"/>
      <c r="D366" s="3"/>
      <c r="E366" s="3"/>
      <c r="F366" s="3"/>
    </row>
    <row r="367" spans="3:6" ht="12.75" x14ac:dyDescent="0.35">
      <c r="C367" s="3"/>
      <c r="D367" s="3"/>
      <c r="E367" s="3"/>
      <c r="F367" s="3"/>
    </row>
    <row r="368" spans="3:6" ht="12.75" x14ac:dyDescent="0.35">
      <c r="C368" s="3"/>
      <c r="D368" s="3"/>
      <c r="E368" s="3"/>
      <c r="F368" s="3"/>
    </row>
    <row r="369" spans="3:6" ht="12.75" x14ac:dyDescent="0.35">
      <c r="C369" s="3"/>
      <c r="D369" s="3"/>
      <c r="E369" s="3"/>
      <c r="F369" s="3"/>
    </row>
    <row r="370" spans="3:6" ht="12.75" x14ac:dyDescent="0.35">
      <c r="C370" s="3"/>
      <c r="D370" s="3"/>
      <c r="E370" s="3"/>
      <c r="F370" s="3"/>
    </row>
    <row r="371" spans="3:6" ht="12.75" x14ac:dyDescent="0.35">
      <c r="C371" s="3"/>
      <c r="D371" s="3"/>
      <c r="E371" s="3"/>
      <c r="F371" s="3"/>
    </row>
    <row r="372" spans="3:6" ht="12.75" x14ac:dyDescent="0.35">
      <c r="C372" s="3"/>
      <c r="D372" s="3"/>
      <c r="E372" s="3"/>
      <c r="F372" s="3"/>
    </row>
    <row r="373" spans="3:6" ht="12.75" x14ac:dyDescent="0.35">
      <c r="C373" s="3"/>
      <c r="D373" s="3"/>
      <c r="E373" s="3"/>
      <c r="F373" s="3"/>
    </row>
    <row r="374" spans="3:6" ht="12.75" x14ac:dyDescent="0.35">
      <c r="C374" s="3"/>
      <c r="D374" s="3"/>
      <c r="E374" s="3"/>
      <c r="F374" s="3"/>
    </row>
    <row r="375" spans="3:6" ht="12.75" x14ac:dyDescent="0.35">
      <c r="C375" s="3"/>
      <c r="D375" s="3"/>
      <c r="E375" s="3"/>
      <c r="F375" s="3"/>
    </row>
    <row r="376" spans="3:6" ht="12.75" x14ac:dyDescent="0.35">
      <c r="C376" s="3"/>
      <c r="D376" s="3"/>
      <c r="E376" s="3"/>
      <c r="F376" s="3"/>
    </row>
    <row r="377" spans="3:6" ht="12.75" x14ac:dyDescent="0.35">
      <c r="C377" s="3"/>
      <c r="D377" s="3"/>
      <c r="E377" s="3"/>
      <c r="F377" s="3"/>
    </row>
    <row r="378" spans="3:6" ht="12.75" x14ac:dyDescent="0.35">
      <c r="C378" s="3"/>
      <c r="D378" s="3"/>
      <c r="E378" s="3"/>
      <c r="F378" s="3"/>
    </row>
    <row r="379" spans="3:6" ht="12.75" x14ac:dyDescent="0.35">
      <c r="C379" s="3"/>
      <c r="D379" s="3"/>
      <c r="E379" s="3"/>
      <c r="F379" s="3"/>
    </row>
    <row r="380" spans="3:6" ht="12.75" x14ac:dyDescent="0.35">
      <c r="C380" s="3"/>
      <c r="D380" s="3"/>
      <c r="E380" s="3"/>
      <c r="F380" s="3"/>
    </row>
    <row r="381" spans="3:6" ht="12.75" x14ac:dyDescent="0.35">
      <c r="C381" s="3"/>
      <c r="D381" s="3"/>
      <c r="E381" s="3"/>
      <c r="F381" s="3"/>
    </row>
    <row r="382" spans="3:6" ht="12.75" x14ac:dyDescent="0.35">
      <c r="C382" s="3"/>
      <c r="D382" s="3"/>
      <c r="E382" s="3"/>
      <c r="F382" s="3"/>
    </row>
    <row r="383" spans="3:6" ht="12.75" x14ac:dyDescent="0.35">
      <c r="C383" s="3"/>
      <c r="D383" s="3"/>
      <c r="E383" s="3"/>
      <c r="F383" s="3"/>
    </row>
    <row r="384" spans="3:6" ht="12.75" x14ac:dyDescent="0.35">
      <c r="C384" s="3"/>
      <c r="D384" s="3"/>
      <c r="E384" s="3"/>
      <c r="F384" s="3"/>
    </row>
    <row r="385" spans="3:6" ht="12.75" x14ac:dyDescent="0.35">
      <c r="C385" s="3"/>
      <c r="D385" s="3"/>
      <c r="E385" s="3"/>
      <c r="F385" s="3"/>
    </row>
    <row r="386" spans="3:6" ht="12.75" x14ac:dyDescent="0.35">
      <c r="C386" s="3"/>
      <c r="D386" s="3"/>
      <c r="E386" s="3"/>
      <c r="F386" s="3"/>
    </row>
    <row r="387" spans="3:6" ht="12.75" x14ac:dyDescent="0.35">
      <c r="C387" s="3"/>
      <c r="D387" s="3"/>
      <c r="E387" s="3"/>
      <c r="F387" s="3"/>
    </row>
    <row r="388" spans="3:6" ht="12.75" x14ac:dyDescent="0.35">
      <c r="C388" s="3"/>
      <c r="D388" s="3"/>
      <c r="E388" s="3"/>
      <c r="F388" s="3"/>
    </row>
    <row r="389" spans="3:6" ht="12.75" x14ac:dyDescent="0.35">
      <c r="C389" s="3"/>
      <c r="D389" s="3"/>
      <c r="E389" s="3"/>
      <c r="F389" s="3"/>
    </row>
    <row r="390" spans="3:6" ht="12.75" x14ac:dyDescent="0.35">
      <c r="C390" s="3"/>
      <c r="D390" s="3"/>
      <c r="E390" s="3"/>
      <c r="F390" s="3"/>
    </row>
    <row r="391" spans="3:6" ht="12.75" x14ac:dyDescent="0.35">
      <c r="C391" s="3"/>
      <c r="D391" s="3"/>
      <c r="E391" s="3"/>
      <c r="F391" s="3"/>
    </row>
    <row r="392" spans="3:6" ht="12.75" x14ac:dyDescent="0.35">
      <c r="C392" s="3"/>
      <c r="D392" s="3"/>
      <c r="E392" s="3"/>
      <c r="F392" s="3"/>
    </row>
    <row r="393" spans="3:6" ht="12.75" x14ac:dyDescent="0.35">
      <c r="C393" s="3"/>
      <c r="D393" s="3"/>
      <c r="E393" s="3"/>
      <c r="F393" s="3"/>
    </row>
    <row r="394" spans="3:6" ht="12.75" x14ac:dyDescent="0.35">
      <c r="C394" s="3"/>
      <c r="D394" s="3"/>
      <c r="E394" s="3"/>
      <c r="F394" s="3"/>
    </row>
    <row r="395" spans="3:6" ht="12.75" x14ac:dyDescent="0.35">
      <c r="C395" s="3"/>
      <c r="D395" s="3"/>
      <c r="E395" s="3"/>
      <c r="F395" s="3"/>
    </row>
    <row r="396" spans="3:6" ht="12.75" x14ac:dyDescent="0.35">
      <c r="C396" s="3"/>
      <c r="D396" s="3"/>
      <c r="E396" s="3"/>
      <c r="F396" s="3"/>
    </row>
    <row r="397" spans="3:6" ht="12.75" x14ac:dyDescent="0.35">
      <c r="C397" s="3"/>
      <c r="D397" s="3"/>
      <c r="E397" s="3"/>
      <c r="F397" s="3"/>
    </row>
    <row r="398" spans="3:6" ht="12.75" x14ac:dyDescent="0.35">
      <c r="C398" s="3"/>
      <c r="D398" s="3"/>
      <c r="E398" s="3"/>
      <c r="F398" s="3"/>
    </row>
    <row r="399" spans="3:6" ht="12.75" x14ac:dyDescent="0.35">
      <c r="C399" s="3"/>
      <c r="D399" s="3"/>
      <c r="E399" s="3"/>
      <c r="F399" s="3"/>
    </row>
    <row r="400" spans="3:6" ht="12.75" x14ac:dyDescent="0.35">
      <c r="C400" s="3"/>
      <c r="D400" s="3"/>
      <c r="E400" s="3"/>
      <c r="F400" s="3"/>
    </row>
    <row r="401" spans="3:6" ht="12.75" x14ac:dyDescent="0.35">
      <c r="C401" s="3"/>
      <c r="D401" s="3"/>
      <c r="E401" s="3"/>
      <c r="F401" s="3"/>
    </row>
    <row r="402" spans="3:6" ht="12.75" x14ac:dyDescent="0.35">
      <c r="C402" s="3"/>
      <c r="D402" s="3"/>
      <c r="E402" s="3"/>
      <c r="F402" s="3"/>
    </row>
    <row r="403" spans="3:6" ht="12.75" x14ac:dyDescent="0.35">
      <c r="C403" s="3"/>
      <c r="D403" s="3"/>
      <c r="E403" s="3"/>
      <c r="F403" s="3"/>
    </row>
    <row r="404" spans="3:6" ht="12.75" x14ac:dyDescent="0.35">
      <c r="C404" s="3"/>
      <c r="D404" s="3"/>
      <c r="E404" s="3"/>
      <c r="F404" s="3"/>
    </row>
    <row r="405" spans="3:6" ht="12.75" x14ac:dyDescent="0.35">
      <c r="C405" s="3"/>
      <c r="D405" s="3"/>
      <c r="E405" s="3"/>
      <c r="F405" s="3"/>
    </row>
    <row r="406" spans="3:6" ht="12.75" x14ac:dyDescent="0.35">
      <c r="C406" s="3"/>
      <c r="D406" s="3"/>
      <c r="E406" s="3"/>
      <c r="F406" s="3"/>
    </row>
    <row r="407" spans="3:6" ht="12.75" x14ac:dyDescent="0.35">
      <c r="C407" s="3"/>
      <c r="D407" s="3"/>
      <c r="E407" s="3"/>
      <c r="F407" s="3"/>
    </row>
    <row r="408" spans="3:6" ht="12.75" x14ac:dyDescent="0.35">
      <c r="C408" s="3"/>
      <c r="D408" s="3"/>
      <c r="E408" s="3"/>
      <c r="F408" s="3"/>
    </row>
    <row r="409" spans="3:6" ht="12.75" x14ac:dyDescent="0.35">
      <c r="C409" s="3"/>
      <c r="D409" s="3"/>
      <c r="E409" s="3"/>
      <c r="F409" s="3"/>
    </row>
    <row r="410" spans="3:6" ht="12.75" x14ac:dyDescent="0.35">
      <c r="C410" s="3"/>
      <c r="D410" s="3"/>
      <c r="E410" s="3"/>
      <c r="F410" s="3"/>
    </row>
    <row r="411" spans="3:6" ht="12.75" x14ac:dyDescent="0.35">
      <c r="C411" s="3"/>
      <c r="D411" s="3"/>
      <c r="E411" s="3"/>
      <c r="F411" s="3"/>
    </row>
    <row r="412" spans="3:6" ht="12.75" x14ac:dyDescent="0.35">
      <c r="C412" s="3"/>
      <c r="D412" s="3"/>
      <c r="E412" s="3"/>
      <c r="F412" s="3"/>
    </row>
    <row r="413" spans="3:6" ht="12.75" x14ac:dyDescent="0.35">
      <c r="C413" s="3"/>
      <c r="D413" s="3"/>
      <c r="E413" s="3"/>
      <c r="F413" s="3"/>
    </row>
    <row r="414" spans="3:6" ht="12.75" x14ac:dyDescent="0.35">
      <c r="C414" s="3"/>
      <c r="D414" s="3"/>
      <c r="E414" s="3"/>
      <c r="F414" s="3"/>
    </row>
    <row r="415" spans="3:6" ht="12.75" x14ac:dyDescent="0.35">
      <c r="C415" s="3"/>
      <c r="D415" s="3"/>
      <c r="E415" s="3"/>
      <c r="F415" s="3"/>
    </row>
    <row r="416" spans="3:6" ht="12.75" x14ac:dyDescent="0.35">
      <c r="C416" s="3"/>
      <c r="D416" s="3"/>
      <c r="E416" s="3"/>
      <c r="F416" s="3"/>
    </row>
    <row r="417" spans="3:6" ht="12.75" x14ac:dyDescent="0.35">
      <c r="C417" s="3"/>
      <c r="D417" s="3"/>
      <c r="E417" s="3"/>
      <c r="F417" s="3"/>
    </row>
    <row r="418" spans="3:6" ht="12.75" x14ac:dyDescent="0.35">
      <c r="C418" s="3"/>
      <c r="D418" s="3"/>
      <c r="E418" s="3"/>
      <c r="F418" s="3"/>
    </row>
    <row r="419" spans="3:6" ht="12.75" x14ac:dyDescent="0.35">
      <c r="C419" s="3"/>
      <c r="D419" s="3"/>
      <c r="E419" s="3"/>
      <c r="F419" s="3"/>
    </row>
    <row r="420" spans="3:6" ht="12.75" x14ac:dyDescent="0.35">
      <c r="C420" s="3"/>
      <c r="D420" s="3"/>
      <c r="E420" s="3"/>
      <c r="F420" s="3"/>
    </row>
    <row r="421" spans="3:6" ht="12.75" x14ac:dyDescent="0.35">
      <c r="C421" s="3"/>
      <c r="D421" s="3"/>
      <c r="E421" s="3"/>
      <c r="F421" s="3"/>
    </row>
    <row r="422" spans="3:6" ht="12.75" x14ac:dyDescent="0.35">
      <c r="C422" s="3"/>
      <c r="D422" s="3"/>
      <c r="E422" s="3"/>
      <c r="F422" s="3"/>
    </row>
    <row r="423" spans="3:6" ht="12.75" x14ac:dyDescent="0.35">
      <c r="C423" s="3"/>
      <c r="D423" s="3"/>
      <c r="E423" s="3"/>
      <c r="F423" s="3"/>
    </row>
    <row r="424" spans="3:6" ht="12.75" x14ac:dyDescent="0.35">
      <c r="C424" s="3"/>
      <c r="D424" s="3"/>
      <c r="E424" s="3"/>
      <c r="F424" s="3"/>
    </row>
    <row r="425" spans="3:6" ht="12.75" x14ac:dyDescent="0.35">
      <c r="C425" s="3"/>
      <c r="D425" s="3"/>
      <c r="E425" s="3"/>
      <c r="F425" s="3"/>
    </row>
    <row r="426" spans="3:6" ht="12.75" x14ac:dyDescent="0.35">
      <c r="C426" s="3"/>
      <c r="D426" s="3"/>
      <c r="E426" s="3"/>
      <c r="F426" s="3"/>
    </row>
    <row r="427" spans="3:6" ht="12.75" x14ac:dyDescent="0.35">
      <c r="C427" s="3"/>
      <c r="D427" s="3"/>
      <c r="E427" s="3"/>
      <c r="F427" s="3"/>
    </row>
    <row r="428" spans="3:6" ht="12.75" x14ac:dyDescent="0.35">
      <c r="C428" s="3"/>
      <c r="D428" s="3"/>
      <c r="E428" s="3"/>
      <c r="F428" s="3"/>
    </row>
    <row r="429" spans="3:6" ht="12.75" x14ac:dyDescent="0.35">
      <c r="C429" s="3"/>
      <c r="D429" s="3"/>
      <c r="E429" s="3"/>
      <c r="F429" s="3"/>
    </row>
    <row r="430" spans="3:6" ht="12.75" x14ac:dyDescent="0.35">
      <c r="C430" s="3"/>
      <c r="D430" s="3"/>
      <c r="E430" s="3"/>
      <c r="F430" s="3"/>
    </row>
    <row r="431" spans="3:6" ht="12.75" x14ac:dyDescent="0.35">
      <c r="C431" s="3"/>
      <c r="D431" s="3"/>
      <c r="E431" s="3"/>
      <c r="F431" s="3"/>
    </row>
    <row r="432" spans="3:6" ht="12.75" x14ac:dyDescent="0.35">
      <c r="C432" s="3"/>
      <c r="D432" s="3"/>
      <c r="E432" s="3"/>
      <c r="F432" s="3"/>
    </row>
    <row r="433" spans="3:6" ht="12.75" x14ac:dyDescent="0.35">
      <c r="C433" s="3"/>
      <c r="D433" s="3"/>
      <c r="E433" s="3"/>
      <c r="F433" s="3"/>
    </row>
    <row r="434" spans="3:6" ht="12.75" x14ac:dyDescent="0.35">
      <c r="C434" s="3"/>
      <c r="D434" s="3"/>
      <c r="E434" s="3"/>
      <c r="F434" s="3"/>
    </row>
    <row r="435" spans="3:6" ht="12.75" x14ac:dyDescent="0.35">
      <c r="C435" s="3"/>
      <c r="D435" s="3"/>
      <c r="E435" s="3"/>
      <c r="F435" s="3"/>
    </row>
    <row r="436" spans="3:6" ht="12.75" x14ac:dyDescent="0.35">
      <c r="C436" s="3"/>
      <c r="D436" s="3"/>
      <c r="E436" s="3"/>
      <c r="F436" s="3"/>
    </row>
    <row r="437" spans="3:6" ht="12.75" x14ac:dyDescent="0.35">
      <c r="C437" s="3"/>
      <c r="D437" s="3"/>
      <c r="E437" s="3"/>
      <c r="F437" s="3"/>
    </row>
    <row r="438" spans="3:6" ht="12.75" x14ac:dyDescent="0.35">
      <c r="C438" s="3"/>
      <c r="D438" s="3"/>
      <c r="E438" s="3"/>
      <c r="F438" s="3"/>
    </row>
    <row r="439" spans="3:6" ht="12.75" x14ac:dyDescent="0.35">
      <c r="C439" s="3"/>
      <c r="D439" s="3"/>
      <c r="E439" s="3"/>
      <c r="F439" s="3"/>
    </row>
    <row r="440" spans="3:6" ht="12.75" x14ac:dyDescent="0.35">
      <c r="C440" s="3"/>
      <c r="D440" s="3"/>
      <c r="E440" s="3"/>
      <c r="F440" s="3"/>
    </row>
    <row r="441" spans="3:6" ht="12.75" x14ac:dyDescent="0.35">
      <c r="C441" s="3"/>
      <c r="D441" s="3"/>
      <c r="E441" s="3"/>
      <c r="F441" s="3"/>
    </row>
    <row r="442" spans="3:6" ht="12.75" x14ac:dyDescent="0.35">
      <c r="C442" s="3"/>
      <c r="D442" s="3"/>
      <c r="E442" s="3"/>
      <c r="F442" s="3"/>
    </row>
    <row r="443" spans="3:6" ht="12.75" x14ac:dyDescent="0.35">
      <c r="C443" s="3"/>
      <c r="D443" s="3"/>
      <c r="E443" s="3"/>
      <c r="F443" s="3"/>
    </row>
    <row r="444" spans="3:6" ht="12.75" x14ac:dyDescent="0.35">
      <c r="C444" s="3"/>
      <c r="D444" s="3"/>
      <c r="E444" s="3"/>
      <c r="F444" s="3"/>
    </row>
    <row r="445" spans="3:6" ht="12.75" x14ac:dyDescent="0.35">
      <c r="C445" s="3"/>
      <c r="D445" s="3"/>
      <c r="E445" s="3"/>
      <c r="F445" s="3"/>
    </row>
    <row r="446" spans="3:6" ht="12.75" x14ac:dyDescent="0.35">
      <c r="C446" s="3"/>
      <c r="D446" s="3"/>
      <c r="E446" s="3"/>
      <c r="F446" s="3"/>
    </row>
    <row r="447" spans="3:6" ht="12.75" x14ac:dyDescent="0.35">
      <c r="C447" s="3"/>
      <c r="D447" s="3"/>
      <c r="E447" s="3"/>
      <c r="F447" s="3"/>
    </row>
    <row r="448" spans="3:6" ht="12.75" x14ac:dyDescent="0.35">
      <c r="C448" s="3"/>
      <c r="D448" s="3"/>
      <c r="E448" s="3"/>
      <c r="F448" s="3"/>
    </row>
    <row r="449" spans="3:6" ht="12.75" x14ac:dyDescent="0.35">
      <c r="C449" s="3"/>
      <c r="D449" s="3"/>
      <c r="E449" s="3"/>
      <c r="F449" s="3"/>
    </row>
    <row r="450" spans="3:6" ht="12.75" x14ac:dyDescent="0.35">
      <c r="C450" s="3"/>
      <c r="D450" s="3"/>
      <c r="E450" s="3"/>
      <c r="F450" s="3"/>
    </row>
    <row r="451" spans="3:6" ht="12.75" x14ac:dyDescent="0.35">
      <c r="C451" s="3"/>
      <c r="D451" s="3"/>
      <c r="E451" s="3"/>
      <c r="F451" s="3"/>
    </row>
    <row r="452" spans="3:6" ht="12.75" x14ac:dyDescent="0.35">
      <c r="C452" s="3"/>
      <c r="D452" s="3"/>
      <c r="E452" s="3"/>
      <c r="F452" s="3"/>
    </row>
    <row r="453" spans="3:6" ht="12.75" x14ac:dyDescent="0.35">
      <c r="C453" s="3"/>
      <c r="D453" s="3"/>
      <c r="E453" s="3"/>
      <c r="F453" s="3"/>
    </row>
    <row r="454" spans="3:6" ht="12.75" x14ac:dyDescent="0.35">
      <c r="C454" s="3"/>
      <c r="D454" s="3"/>
      <c r="E454" s="3"/>
      <c r="F454" s="3"/>
    </row>
    <row r="455" spans="3:6" ht="12.75" x14ac:dyDescent="0.35">
      <c r="C455" s="3"/>
      <c r="D455" s="3"/>
      <c r="E455" s="3"/>
      <c r="F455" s="3"/>
    </row>
    <row r="456" spans="3:6" ht="12.75" x14ac:dyDescent="0.35">
      <c r="C456" s="3"/>
      <c r="D456" s="3"/>
      <c r="E456" s="3"/>
      <c r="F456" s="3"/>
    </row>
    <row r="457" spans="3:6" ht="12.75" x14ac:dyDescent="0.35">
      <c r="C457" s="3"/>
      <c r="D457" s="3"/>
      <c r="E457" s="3"/>
      <c r="F457" s="3"/>
    </row>
    <row r="458" spans="3:6" ht="12.75" x14ac:dyDescent="0.35">
      <c r="C458" s="3"/>
      <c r="D458" s="3"/>
      <c r="E458" s="3"/>
      <c r="F458" s="3"/>
    </row>
    <row r="459" spans="3:6" ht="12.75" x14ac:dyDescent="0.35">
      <c r="C459" s="3"/>
      <c r="D459" s="3"/>
      <c r="E459" s="3"/>
      <c r="F459" s="3"/>
    </row>
    <row r="460" spans="3:6" ht="12.75" x14ac:dyDescent="0.35">
      <c r="C460" s="3"/>
      <c r="D460" s="3"/>
      <c r="E460" s="3"/>
      <c r="F460" s="3"/>
    </row>
    <row r="461" spans="3:6" ht="12.75" x14ac:dyDescent="0.35">
      <c r="C461" s="3"/>
      <c r="D461" s="3"/>
      <c r="E461" s="3"/>
      <c r="F461" s="3"/>
    </row>
    <row r="462" spans="3:6" ht="12.75" x14ac:dyDescent="0.35">
      <c r="C462" s="3"/>
      <c r="D462" s="3"/>
      <c r="E462" s="3"/>
      <c r="F462" s="3"/>
    </row>
    <row r="463" spans="3:6" ht="12.75" x14ac:dyDescent="0.35">
      <c r="C463" s="3"/>
      <c r="D463" s="3"/>
      <c r="E463" s="3"/>
      <c r="F463" s="3"/>
    </row>
    <row r="464" spans="3:6" ht="12.75" x14ac:dyDescent="0.35">
      <c r="C464" s="3"/>
      <c r="D464" s="3"/>
      <c r="E464" s="3"/>
      <c r="F464" s="3"/>
    </row>
    <row r="465" spans="3:6" ht="12.75" x14ac:dyDescent="0.35">
      <c r="C465" s="3"/>
      <c r="D465" s="3"/>
      <c r="E465" s="3"/>
      <c r="F465" s="3"/>
    </row>
    <row r="466" spans="3:6" ht="12.75" x14ac:dyDescent="0.35">
      <c r="C466" s="3"/>
      <c r="D466" s="3"/>
      <c r="E466" s="3"/>
      <c r="F466" s="3"/>
    </row>
    <row r="467" spans="3:6" ht="12.75" x14ac:dyDescent="0.35">
      <c r="C467" s="3"/>
      <c r="D467" s="3"/>
      <c r="E467" s="3"/>
      <c r="F467" s="3"/>
    </row>
    <row r="468" spans="3:6" ht="12.75" x14ac:dyDescent="0.35">
      <c r="C468" s="3"/>
      <c r="D468" s="3"/>
      <c r="E468" s="3"/>
      <c r="F468" s="3"/>
    </row>
    <row r="469" spans="3:6" ht="12.75" x14ac:dyDescent="0.35">
      <c r="C469" s="3"/>
      <c r="D469" s="3"/>
      <c r="E469" s="3"/>
      <c r="F469" s="3"/>
    </row>
    <row r="470" spans="3:6" ht="12.75" x14ac:dyDescent="0.35">
      <c r="C470" s="3"/>
      <c r="D470" s="3"/>
      <c r="E470" s="3"/>
      <c r="F470" s="3"/>
    </row>
    <row r="471" spans="3:6" ht="12.75" x14ac:dyDescent="0.35">
      <c r="C471" s="3"/>
      <c r="D471" s="3"/>
      <c r="E471" s="3"/>
      <c r="F471" s="3"/>
    </row>
    <row r="472" spans="3:6" ht="12.75" x14ac:dyDescent="0.35">
      <c r="C472" s="3"/>
      <c r="D472" s="3"/>
      <c r="E472" s="3"/>
      <c r="F472" s="3"/>
    </row>
    <row r="473" spans="3:6" ht="12.75" x14ac:dyDescent="0.35">
      <c r="C473" s="3"/>
      <c r="D473" s="3"/>
      <c r="E473" s="3"/>
      <c r="F473" s="3"/>
    </row>
    <row r="474" spans="3:6" ht="12.75" x14ac:dyDescent="0.35">
      <c r="C474" s="3"/>
      <c r="D474" s="3"/>
      <c r="E474" s="3"/>
      <c r="F474" s="3"/>
    </row>
    <row r="475" spans="3:6" ht="12.75" x14ac:dyDescent="0.35">
      <c r="C475" s="3"/>
      <c r="D475" s="3"/>
      <c r="E475" s="3"/>
      <c r="F475" s="3"/>
    </row>
    <row r="476" spans="3:6" ht="12.75" x14ac:dyDescent="0.35">
      <c r="C476" s="3"/>
      <c r="D476" s="3"/>
      <c r="E476" s="3"/>
      <c r="F476" s="3"/>
    </row>
    <row r="477" spans="3:6" ht="12.75" x14ac:dyDescent="0.35">
      <c r="C477" s="3"/>
      <c r="D477" s="3"/>
      <c r="E477" s="3"/>
      <c r="F477" s="3"/>
    </row>
    <row r="478" spans="3:6" ht="12.75" x14ac:dyDescent="0.35">
      <c r="C478" s="3"/>
      <c r="D478" s="3"/>
      <c r="E478" s="3"/>
      <c r="F478" s="3"/>
    </row>
    <row r="479" spans="3:6" ht="12.75" x14ac:dyDescent="0.35">
      <c r="C479" s="3"/>
      <c r="D479" s="3"/>
      <c r="E479" s="3"/>
      <c r="F479" s="3"/>
    </row>
    <row r="480" spans="3:6" ht="12.75" x14ac:dyDescent="0.35">
      <c r="C480" s="3"/>
      <c r="D480" s="3"/>
      <c r="E480" s="3"/>
      <c r="F480" s="3"/>
    </row>
    <row r="481" spans="3:6" ht="12.75" x14ac:dyDescent="0.35">
      <c r="C481" s="3"/>
      <c r="D481" s="3"/>
      <c r="E481" s="3"/>
      <c r="F481" s="3"/>
    </row>
    <row r="482" spans="3:6" ht="12.75" x14ac:dyDescent="0.35">
      <c r="C482" s="3"/>
      <c r="D482" s="3"/>
      <c r="E482" s="3"/>
      <c r="F482" s="3"/>
    </row>
    <row r="483" spans="3:6" ht="12.75" x14ac:dyDescent="0.35">
      <c r="C483" s="3"/>
      <c r="D483" s="3"/>
      <c r="E483" s="3"/>
      <c r="F483" s="3"/>
    </row>
    <row r="484" spans="3:6" ht="12.75" x14ac:dyDescent="0.35">
      <c r="C484" s="3"/>
      <c r="D484" s="3"/>
      <c r="E484" s="3"/>
      <c r="F484" s="3"/>
    </row>
    <row r="485" spans="3:6" ht="12.75" x14ac:dyDescent="0.35">
      <c r="C485" s="3"/>
      <c r="D485" s="3"/>
      <c r="E485" s="3"/>
      <c r="F485" s="3"/>
    </row>
    <row r="486" spans="3:6" ht="12.75" x14ac:dyDescent="0.35">
      <c r="C486" s="3"/>
      <c r="D486" s="3"/>
      <c r="E486" s="3"/>
      <c r="F486" s="3"/>
    </row>
    <row r="487" spans="3:6" ht="12.75" x14ac:dyDescent="0.35">
      <c r="C487" s="3"/>
      <c r="D487" s="3"/>
      <c r="E487" s="3"/>
      <c r="F487" s="3"/>
    </row>
    <row r="488" spans="3:6" ht="12.75" x14ac:dyDescent="0.35">
      <c r="C488" s="3"/>
      <c r="D488" s="3"/>
      <c r="E488" s="3"/>
      <c r="F488" s="3"/>
    </row>
    <row r="489" spans="3:6" ht="12.75" x14ac:dyDescent="0.35">
      <c r="C489" s="3"/>
      <c r="D489" s="3"/>
      <c r="E489" s="3"/>
      <c r="F489" s="3"/>
    </row>
    <row r="490" spans="3:6" ht="12.75" x14ac:dyDescent="0.35">
      <c r="C490" s="3"/>
      <c r="D490" s="3"/>
      <c r="E490" s="3"/>
      <c r="F490" s="3"/>
    </row>
    <row r="491" spans="3:6" ht="12.75" x14ac:dyDescent="0.35">
      <c r="C491" s="3"/>
      <c r="D491" s="3"/>
      <c r="E491" s="3"/>
      <c r="F491" s="3"/>
    </row>
    <row r="492" spans="3:6" ht="12.75" x14ac:dyDescent="0.35">
      <c r="C492" s="3"/>
      <c r="D492" s="3"/>
      <c r="E492" s="3"/>
      <c r="F492" s="3"/>
    </row>
    <row r="493" spans="3:6" ht="12.75" x14ac:dyDescent="0.35">
      <c r="C493" s="3"/>
      <c r="D493" s="3"/>
      <c r="E493" s="3"/>
      <c r="F493" s="3"/>
    </row>
    <row r="494" spans="3:6" ht="12.75" x14ac:dyDescent="0.35">
      <c r="C494" s="3"/>
      <c r="D494" s="3"/>
      <c r="E494" s="3"/>
      <c r="F494" s="3"/>
    </row>
    <row r="495" spans="3:6" ht="12.75" x14ac:dyDescent="0.35">
      <c r="C495" s="3"/>
      <c r="D495" s="3"/>
      <c r="E495" s="3"/>
      <c r="F495" s="3"/>
    </row>
    <row r="496" spans="3:6" ht="12.75" x14ac:dyDescent="0.35">
      <c r="C496" s="3"/>
      <c r="D496" s="3"/>
      <c r="E496" s="3"/>
      <c r="F496" s="3"/>
    </row>
    <row r="497" spans="3:6" ht="12.75" x14ac:dyDescent="0.35">
      <c r="C497" s="3"/>
      <c r="D497" s="3"/>
      <c r="E497" s="3"/>
      <c r="F497" s="3"/>
    </row>
    <row r="498" spans="3:6" ht="12.75" x14ac:dyDescent="0.35">
      <c r="C498" s="3"/>
      <c r="D498" s="3"/>
      <c r="E498" s="3"/>
      <c r="F498" s="3"/>
    </row>
    <row r="499" spans="3:6" ht="12.75" x14ac:dyDescent="0.35">
      <c r="C499" s="3"/>
      <c r="D499" s="3"/>
      <c r="E499" s="3"/>
      <c r="F499" s="3"/>
    </row>
    <row r="500" spans="3:6" ht="12.75" x14ac:dyDescent="0.35">
      <c r="C500" s="3"/>
      <c r="D500" s="3"/>
      <c r="E500" s="3"/>
      <c r="F500" s="3"/>
    </row>
    <row r="501" spans="3:6" ht="12.75" x14ac:dyDescent="0.35">
      <c r="C501" s="3"/>
      <c r="D501" s="3"/>
      <c r="E501" s="3"/>
      <c r="F501" s="3"/>
    </row>
    <row r="502" spans="3:6" ht="12.75" x14ac:dyDescent="0.35">
      <c r="C502" s="3"/>
      <c r="D502" s="3"/>
      <c r="E502" s="3"/>
      <c r="F502" s="3"/>
    </row>
    <row r="503" spans="3:6" ht="12.75" x14ac:dyDescent="0.35">
      <c r="C503" s="3"/>
      <c r="D503" s="3"/>
      <c r="E503" s="3"/>
      <c r="F503" s="3"/>
    </row>
    <row r="504" spans="3:6" ht="12.75" x14ac:dyDescent="0.35">
      <c r="C504" s="3"/>
      <c r="D504" s="3"/>
      <c r="E504" s="3"/>
      <c r="F504" s="3"/>
    </row>
    <row r="505" spans="3:6" ht="12.75" x14ac:dyDescent="0.35">
      <c r="C505" s="3"/>
      <c r="D505" s="3"/>
      <c r="E505" s="3"/>
      <c r="F505" s="3"/>
    </row>
    <row r="506" spans="3:6" ht="12.75" x14ac:dyDescent="0.35">
      <c r="C506" s="3"/>
      <c r="D506" s="3"/>
      <c r="E506" s="3"/>
      <c r="F506" s="3"/>
    </row>
    <row r="507" spans="3:6" ht="12.75" x14ac:dyDescent="0.35">
      <c r="C507" s="3"/>
      <c r="D507" s="3"/>
      <c r="E507" s="3"/>
      <c r="F507" s="3"/>
    </row>
    <row r="508" spans="3:6" ht="12.75" x14ac:dyDescent="0.35">
      <c r="C508" s="3"/>
      <c r="D508" s="3"/>
      <c r="E508" s="3"/>
      <c r="F508" s="3"/>
    </row>
    <row r="509" spans="3:6" ht="12.75" x14ac:dyDescent="0.35">
      <c r="C509" s="3"/>
      <c r="D509" s="3"/>
      <c r="E509" s="3"/>
      <c r="F509" s="3"/>
    </row>
    <row r="510" spans="3:6" ht="12.75" x14ac:dyDescent="0.35">
      <c r="C510" s="3"/>
      <c r="D510" s="3"/>
      <c r="E510" s="3"/>
      <c r="F510" s="3"/>
    </row>
    <row r="511" spans="3:6" ht="12.75" x14ac:dyDescent="0.35">
      <c r="C511" s="3"/>
      <c r="D511" s="3"/>
      <c r="E511" s="3"/>
      <c r="F511" s="3"/>
    </row>
    <row r="512" spans="3:6" ht="12.75" x14ac:dyDescent="0.35">
      <c r="C512" s="3"/>
      <c r="D512" s="3"/>
      <c r="E512" s="3"/>
      <c r="F512" s="3"/>
    </row>
    <row r="513" spans="3:6" ht="12.75" x14ac:dyDescent="0.35">
      <c r="C513" s="3"/>
      <c r="D513" s="3"/>
      <c r="E513" s="3"/>
      <c r="F513" s="3"/>
    </row>
    <row r="514" spans="3:6" ht="12.75" x14ac:dyDescent="0.35">
      <c r="C514" s="3"/>
      <c r="D514" s="3"/>
      <c r="E514" s="3"/>
      <c r="F514" s="3"/>
    </row>
    <row r="515" spans="3:6" ht="12.75" x14ac:dyDescent="0.35">
      <c r="C515" s="3"/>
      <c r="D515" s="3"/>
      <c r="E515" s="3"/>
      <c r="F515" s="3"/>
    </row>
    <row r="516" spans="3:6" ht="12.75" x14ac:dyDescent="0.35">
      <c r="C516" s="3"/>
      <c r="D516" s="3"/>
      <c r="E516" s="3"/>
      <c r="F516" s="3"/>
    </row>
    <row r="517" spans="3:6" ht="12.75" x14ac:dyDescent="0.35">
      <c r="C517" s="3"/>
      <c r="D517" s="3"/>
      <c r="E517" s="3"/>
      <c r="F517" s="3"/>
    </row>
    <row r="518" spans="3:6" ht="12.75" x14ac:dyDescent="0.35">
      <c r="C518" s="3"/>
      <c r="D518" s="3"/>
      <c r="E518" s="3"/>
      <c r="F518" s="3"/>
    </row>
    <row r="519" spans="3:6" ht="12.75" x14ac:dyDescent="0.35">
      <c r="C519" s="3"/>
      <c r="D519" s="3"/>
      <c r="E519" s="3"/>
      <c r="F519" s="3"/>
    </row>
    <row r="520" spans="3:6" ht="12.75" x14ac:dyDescent="0.35">
      <c r="C520" s="3"/>
      <c r="D520" s="3"/>
      <c r="E520" s="3"/>
      <c r="F520" s="3"/>
    </row>
    <row r="521" spans="3:6" ht="12.75" x14ac:dyDescent="0.35">
      <c r="C521" s="3"/>
      <c r="D521" s="3"/>
      <c r="E521" s="3"/>
      <c r="F521" s="3"/>
    </row>
    <row r="522" spans="3:6" ht="12.75" x14ac:dyDescent="0.35">
      <c r="C522" s="3"/>
      <c r="D522" s="3"/>
      <c r="E522" s="3"/>
      <c r="F522" s="3"/>
    </row>
    <row r="523" spans="3:6" ht="12.75" x14ac:dyDescent="0.35">
      <c r="C523" s="3"/>
      <c r="D523" s="3"/>
      <c r="E523" s="3"/>
      <c r="F523" s="3"/>
    </row>
    <row r="524" spans="3:6" ht="12.75" x14ac:dyDescent="0.35">
      <c r="C524" s="3"/>
      <c r="D524" s="3"/>
      <c r="E524" s="3"/>
      <c r="F524" s="3"/>
    </row>
    <row r="525" spans="3:6" ht="12.75" x14ac:dyDescent="0.35">
      <c r="C525" s="3"/>
      <c r="D525" s="3"/>
      <c r="E525" s="3"/>
      <c r="F525" s="3"/>
    </row>
    <row r="526" spans="3:6" ht="12.75" x14ac:dyDescent="0.35">
      <c r="C526" s="3"/>
      <c r="D526" s="3"/>
      <c r="E526" s="3"/>
      <c r="F526" s="3"/>
    </row>
    <row r="527" spans="3:6" ht="12.75" x14ac:dyDescent="0.35">
      <c r="C527" s="3"/>
      <c r="D527" s="3"/>
      <c r="E527" s="3"/>
      <c r="F527" s="3"/>
    </row>
    <row r="528" spans="3:6" ht="12.75" x14ac:dyDescent="0.35">
      <c r="C528" s="3"/>
      <c r="D528" s="3"/>
      <c r="E528" s="3"/>
      <c r="F528" s="3"/>
    </row>
    <row r="529" spans="3:6" ht="12.75" x14ac:dyDescent="0.35">
      <c r="C529" s="3"/>
      <c r="D529" s="3"/>
      <c r="E529" s="3"/>
      <c r="F529" s="3"/>
    </row>
    <row r="530" spans="3:6" ht="12.75" x14ac:dyDescent="0.35">
      <c r="C530" s="3"/>
      <c r="D530" s="3"/>
      <c r="E530" s="3"/>
      <c r="F530" s="3"/>
    </row>
    <row r="531" spans="3:6" ht="12.75" x14ac:dyDescent="0.35">
      <c r="C531" s="3"/>
      <c r="D531" s="3"/>
      <c r="E531" s="3"/>
      <c r="F531" s="3"/>
    </row>
    <row r="532" spans="3:6" ht="12.75" x14ac:dyDescent="0.35">
      <c r="C532" s="3"/>
      <c r="D532" s="3"/>
      <c r="E532" s="3"/>
      <c r="F532" s="3"/>
    </row>
    <row r="533" spans="3:6" ht="12.75" x14ac:dyDescent="0.35">
      <c r="C533" s="3"/>
      <c r="D533" s="3"/>
      <c r="E533" s="3"/>
      <c r="F533" s="3"/>
    </row>
    <row r="534" spans="3:6" ht="12.75" x14ac:dyDescent="0.35">
      <c r="C534" s="3"/>
      <c r="D534" s="3"/>
      <c r="E534" s="3"/>
      <c r="F534" s="3"/>
    </row>
    <row r="535" spans="3:6" ht="12.75" x14ac:dyDescent="0.35">
      <c r="C535" s="3"/>
      <c r="D535" s="3"/>
      <c r="E535" s="3"/>
      <c r="F535" s="3"/>
    </row>
    <row r="536" spans="3:6" ht="12.75" x14ac:dyDescent="0.35">
      <c r="C536" s="3"/>
      <c r="D536" s="3"/>
      <c r="E536" s="3"/>
      <c r="F536" s="3"/>
    </row>
    <row r="537" spans="3:6" ht="12.75" x14ac:dyDescent="0.35">
      <c r="C537" s="3"/>
      <c r="D537" s="3"/>
      <c r="E537" s="3"/>
      <c r="F537" s="3"/>
    </row>
    <row r="538" spans="3:6" ht="12.75" x14ac:dyDescent="0.35">
      <c r="C538" s="3"/>
      <c r="D538" s="3"/>
      <c r="E538" s="3"/>
      <c r="F538" s="3"/>
    </row>
    <row r="539" spans="3:6" ht="12.75" x14ac:dyDescent="0.35">
      <c r="C539" s="3"/>
      <c r="D539" s="3"/>
      <c r="E539" s="3"/>
      <c r="F539" s="3"/>
    </row>
    <row r="540" spans="3:6" ht="12.75" x14ac:dyDescent="0.35">
      <c r="C540" s="3"/>
      <c r="D540" s="3"/>
      <c r="E540" s="3"/>
      <c r="F540" s="3"/>
    </row>
    <row r="541" spans="3:6" ht="12.75" x14ac:dyDescent="0.35">
      <c r="C541" s="3"/>
      <c r="D541" s="3"/>
      <c r="E541" s="3"/>
      <c r="F541" s="3"/>
    </row>
    <row r="542" spans="3:6" ht="12.75" x14ac:dyDescent="0.35">
      <c r="C542" s="3"/>
      <c r="D542" s="3"/>
      <c r="E542" s="3"/>
      <c r="F542" s="3"/>
    </row>
    <row r="543" spans="3:6" ht="12.75" x14ac:dyDescent="0.35">
      <c r="C543" s="3"/>
      <c r="D543" s="3"/>
      <c r="E543" s="3"/>
      <c r="F543" s="3"/>
    </row>
    <row r="544" spans="3:6" ht="12.75" x14ac:dyDescent="0.35">
      <c r="C544" s="3"/>
      <c r="D544" s="3"/>
      <c r="E544" s="3"/>
      <c r="F544" s="3"/>
    </row>
    <row r="545" spans="3:6" ht="12.75" x14ac:dyDescent="0.35">
      <c r="C545" s="3"/>
      <c r="D545" s="3"/>
      <c r="E545" s="3"/>
      <c r="F545" s="3"/>
    </row>
    <row r="546" spans="3:6" ht="12.75" x14ac:dyDescent="0.35">
      <c r="C546" s="3"/>
      <c r="D546" s="3"/>
      <c r="E546" s="3"/>
      <c r="F546" s="3"/>
    </row>
    <row r="547" spans="3:6" ht="12.75" x14ac:dyDescent="0.35">
      <c r="C547" s="3"/>
      <c r="D547" s="3"/>
      <c r="E547" s="3"/>
      <c r="F547" s="3"/>
    </row>
    <row r="548" spans="3:6" ht="12.75" x14ac:dyDescent="0.35">
      <c r="C548" s="3"/>
      <c r="D548" s="3"/>
      <c r="E548" s="3"/>
      <c r="F548" s="3"/>
    </row>
    <row r="549" spans="3:6" ht="12.75" x14ac:dyDescent="0.35">
      <c r="C549" s="3"/>
      <c r="D549" s="3"/>
      <c r="E549" s="3"/>
      <c r="F549" s="3"/>
    </row>
    <row r="550" spans="3:6" ht="12.75" x14ac:dyDescent="0.35">
      <c r="C550" s="3"/>
      <c r="D550" s="3"/>
      <c r="E550" s="3"/>
      <c r="F550" s="3"/>
    </row>
    <row r="551" spans="3:6" ht="12.75" x14ac:dyDescent="0.35">
      <c r="C551" s="3"/>
      <c r="D551" s="3"/>
      <c r="E551" s="3"/>
      <c r="F551" s="3"/>
    </row>
    <row r="552" spans="3:6" ht="12.75" x14ac:dyDescent="0.35">
      <c r="C552" s="3"/>
      <c r="D552" s="3"/>
      <c r="E552" s="3"/>
      <c r="F552" s="3"/>
    </row>
    <row r="553" spans="3:6" ht="12.75" x14ac:dyDescent="0.35">
      <c r="C553" s="3"/>
      <c r="D553" s="3"/>
      <c r="E553" s="3"/>
      <c r="F553" s="3"/>
    </row>
    <row r="554" spans="3:6" ht="12.75" x14ac:dyDescent="0.35">
      <c r="C554" s="3"/>
      <c r="D554" s="3"/>
      <c r="E554" s="3"/>
      <c r="F554" s="3"/>
    </row>
    <row r="555" spans="3:6" ht="12.75" x14ac:dyDescent="0.35">
      <c r="C555" s="3"/>
      <c r="D555" s="3"/>
      <c r="E555" s="3"/>
      <c r="F555" s="3"/>
    </row>
    <row r="556" spans="3:6" ht="12.75" x14ac:dyDescent="0.35">
      <c r="C556" s="3"/>
      <c r="D556" s="3"/>
      <c r="E556" s="3"/>
      <c r="F556" s="3"/>
    </row>
    <row r="557" spans="3:6" ht="12.75" x14ac:dyDescent="0.35">
      <c r="C557" s="3"/>
      <c r="D557" s="3"/>
      <c r="E557" s="3"/>
      <c r="F557" s="3"/>
    </row>
    <row r="558" spans="3:6" ht="12.75" x14ac:dyDescent="0.35">
      <c r="C558" s="3"/>
      <c r="D558" s="3"/>
      <c r="E558" s="3"/>
      <c r="F558" s="3"/>
    </row>
    <row r="559" spans="3:6" ht="12.75" x14ac:dyDescent="0.35">
      <c r="C559" s="3"/>
      <c r="D559" s="3"/>
      <c r="E559" s="3"/>
      <c r="F559" s="3"/>
    </row>
    <row r="560" spans="3:6" ht="12.75" x14ac:dyDescent="0.35">
      <c r="C560" s="3"/>
      <c r="D560" s="3"/>
      <c r="E560" s="3"/>
      <c r="F560" s="3"/>
    </row>
    <row r="561" spans="3:6" ht="12.75" x14ac:dyDescent="0.35">
      <c r="C561" s="3"/>
      <c r="D561" s="3"/>
      <c r="E561" s="3"/>
      <c r="F561" s="3"/>
    </row>
    <row r="562" spans="3:6" ht="12.75" x14ac:dyDescent="0.35">
      <c r="C562" s="3"/>
      <c r="D562" s="3"/>
      <c r="E562" s="3"/>
      <c r="F562" s="3"/>
    </row>
    <row r="563" spans="3:6" ht="12.75" x14ac:dyDescent="0.35">
      <c r="C563" s="3"/>
      <c r="D563" s="3"/>
      <c r="E563" s="3"/>
      <c r="F563" s="3"/>
    </row>
    <row r="564" spans="3:6" ht="12.75" x14ac:dyDescent="0.35">
      <c r="C564" s="3"/>
      <c r="D564" s="3"/>
      <c r="E564" s="3"/>
      <c r="F564" s="3"/>
    </row>
    <row r="565" spans="3:6" ht="12.75" x14ac:dyDescent="0.35">
      <c r="C565" s="3"/>
      <c r="D565" s="3"/>
      <c r="E565" s="3"/>
      <c r="F565" s="3"/>
    </row>
    <row r="566" spans="3:6" ht="12.75" x14ac:dyDescent="0.35">
      <c r="C566" s="3"/>
      <c r="D566" s="3"/>
      <c r="E566" s="3"/>
      <c r="F566" s="3"/>
    </row>
    <row r="567" spans="3:6" ht="12.75" x14ac:dyDescent="0.35">
      <c r="C567" s="3"/>
      <c r="D567" s="3"/>
      <c r="E567" s="3"/>
      <c r="F567" s="3"/>
    </row>
    <row r="568" spans="3:6" ht="12.75" x14ac:dyDescent="0.35">
      <c r="C568" s="3"/>
      <c r="D568" s="3"/>
      <c r="E568" s="3"/>
      <c r="F568" s="3"/>
    </row>
    <row r="569" spans="3:6" ht="12.75" x14ac:dyDescent="0.35">
      <c r="C569" s="3"/>
      <c r="D569" s="3"/>
      <c r="E569" s="3"/>
      <c r="F569" s="3"/>
    </row>
    <row r="570" spans="3:6" ht="12.75" x14ac:dyDescent="0.35">
      <c r="C570" s="3"/>
      <c r="D570" s="3"/>
      <c r="E570" s="3"/>
      <c r="F570" s="3"/>
    </row>
    <row r="571" spans="3:6" ht="12.75" x14ac:dyDescent="0.35">
      <c r="C571" s="3"/>
      <c r="D571" s="3"/>
      <c r="E571" s="3"/>
      <c r="F571" s="3"/>
    </row>
    <row r="572" spans="3:6" ht="12.75" x14ac:dyDescent="0.35">
      <c r="C572" s="3"/>
      <c r="D572" s="3"/>
      <c r="E572" s="3"/>
      <c r="F572" s="3"/>
    </row>
    <row r="573" spans="3:6" ht="12.75" x14ac:dyDescent="0.35">
      <c r="C573" s="3"/>
      <c r="D573" s="3"/>
      <c r="E573" s="3"/>
      <c r="F573" s="3"/>
    </row>
    <row r="574" spans="3:6" ht="12.75" x14ac:dyDescent="0.35">
      <c r="C574" s="3"/>
      <c r="D574" s="3"/>
      <c r="E574" s="3"/>
      <c r="F574" s="3"/>
    </row>
    <row r="575" spans="3:6" ht="12.75" x14ac:dyDescent="0.35">
      <c r="C575" s="3"/>
      <c r="D575" s="3"/>
      <c r="E575" s="3"/>
      <c r="F575" s="3"/>
    </row>
    <row r="576" spans="3:6" ht="12.75" x14ac:dyDescent="0.35">
      <c r="C576" s="3"/>
      <c r="D576" s="3"/>
      <c r="E576" s="3"/>
      <c r="F576" s="3"/>
    </row>
    <row r="577" spans="3:6" ht="12.75" x14ac:dyDescent="0.35">
      <c r="C577" s="3"/>
      <c r="D577" s="3"/>
      <c r="E577" s="3"/>
      <c r="F577" s="3"/>
    </row>
    <row r="578" spans="3:6" ht="12.75" x14ac:dyDescent="0.35">
      <c r="C578" s="3"/>
      <c r="D578" s="3"/>
      <c r="E578" s="3"/>
      <c r="F578" s="3"/>
    </row>
    <row r="579" spans="3:6" ht="12.75" x14ac:dyDescent="0.35">
      <c r="C579" s="3"/>
      <c r="D579" s="3"/>
      <c r="E579" s="3"/>
      <c r="F579" s="3"/>
    </row>
    <row r="580" spans="3:6" ht="12.75" x14ac:dyDescent="0.35">
      <c r="C580" s="3"/>
      <c r="D580" s="3"/>
      <c r="E580" s="3"/>
      <c r="F580" s="3"/>
    </row>
    <row r="581" spans="3:6" ht="12.75" x14ac:dyDescent="0.35">
      <c r="C581" s="3"/>
      <c r="D581" s="3"/>
      <c r="E581" s="3"/>
      <c r="F581" s="3"/>
    </row>
    <row r="582" spans="3:6" ht="12.75" x14ac:dyDescent="0.35">
      <c r="C582" s="3"/>
      <c r="D582" s="3"/>
      <c r="E582" s="3"/>
      <c r="F582" s="3"/>
    </row>
    <row r="583" spans="3:6" ht="12.75" x14ac:dyDescent="0.35">
      <c r="C583" s="3"/>
      <c r="D583" s="3"/>
      <c r="E583" s="3"/>
      <c r="F583" s="3"/>
    </row>
    <row r="584" spans="3:6" ht="12.75" x14ac:dyDescent="0.35">
      <c r="C584" s="3"/>
      <c r="D584" s="3"/>
      <c r="E584" s="3"/>
      <c r="F584" s="3"/>
    </row>
    <row r="585" spans="3:6" ht="12.75" x14ac:dyDescent="0.35">
      <c r="C585" s="3"/>
      <c r="D585" s="3"/>
      <c r="E585" s="3"/>
      <c r="F585" s="3"/>
    </row>
    <row r="586" spans="3:6" ht="12.75" x14ac:dyDescent="0.35">
      <c r="C586" s="3"/>
      <c r="D586" s="3"/>
      <c r="E586" s="3"/>
      <c r="F586" s="3"/>
    </row>
    <row r="587" spans="3:6" ht="12.75" x14ac:dyDescent="0.35">
      <c r="C587" s="3"/>
      <c r="D587" s="3"/>
      <c r="E587" s="3"/>
      <c r="F587" s="3"/>
    </row>
    <row r="588" spans="3:6" ht="12.75" x14ac:dyDescent="0.35">
      <c r="C588" s="3"/>
      <c r="D588" s="3"/>
      <c r="E588" s="3"/>
      <c r="F588" s="3"/>
    </row>
    <row r="589" spans="3:6" ht="12.75" x14ac:dyDescent="0.35">
      <c r="C589" s="3"/>
      <c r="D589" s="3"/>
      <c r="E589" s="3"/>
      <c r="F589" s="3"/>
    </row>
    <row r="590" spans="3:6" ht="12.75" x14ac:dyDescent="0.35">
      <c r="C590" s="3"/>
      <c r="D590" s="3"/>
      <c r="E590" s="3"/>
      <c r="F590" s="3"/>
    </row>
    <row r="591" spans="3:6" ht="12.75" x14ac:dyDescent="0.35">
      <c r="C591" s="3"/>
      <c r="D591" s="3"/>
      <c r="E591" s="3"/>
      <c r="F591" s="3"/>
    </row>
    <row r="592" spans="3:6" ht="12.75" x14ac:dyDescent="0.35">
      <c r="C592" s="3"/>
      <c r="D592" s="3"/>
      <c r="E592" s="3"/>
      <c r="F592" s="3"/>
    </row>
    <row r="593" spans="3:6" ht="12.75" x14ac:dyDescent="0.35">
      <c r="C593" s="3"/>
      <c r="D593" s="3"/>
      <c r="E593" s="3"/>
      <c r="F593" s="3"/>
    </row>
    <row r="594" spans="3:6" ht="12.75" x14ac:dyDescent="0.35">
      <c r="C594" s="3"/>
      <c r="D594" s="3"/>
      <c r="E594" s="3"/>
      <c r="F594" s="3"/>
    </row>
    <row r="595" spans="3:6" ht="12.75" x14ac:dyDescent="0.35">
      <c r="C595" s="3"/>
      <c r="D595" s="3"/>
      <c r="E595" s="3"/>
      <c r="F595" s="3"/>
    </row>
    <row r="596" spans="3:6" ht="12.75" x14ac:dyDescent="0.35">
      <c r="C596" s="3"/>
      <c r="D596" s="3"/>
      <c r="E596" s="3"/>
      <c r="F596" s="3"/>
    </row>
    <row r="597" spans="3:6" ht="12.75" x14ac:dyDescent="0.35">
      <c r="C597" s="3"/>
      <c r="D597" s="3"/>
      <c r="E597" s="3"/>
      <c r="F597" s="3"/>
    </row>
    <row r="598" spans="3:6" ht="12.75" x14ac:dyDescent="0.35">
      <c r="C598" s="3"/>
      <c r="D598" s="3"/>
      <c r="E598" s="3"/>
      <c r="F598" s="3"/>
    </row>
    <row r="599" spans="3:6" ht="12.75" x14ac:dyDescent="0.35">
      <c r="C599" s="3"/>
      <c r="D599" s="3"/>
      <c r="E599" s="3"/>
      <c r="F599" s="3"/>
    </row>
    <row r="600" spans="3:6" ht="12.75" x14ac:dyDescent="0.35">
      <c r="C600" s="3"/>
      <c r="D600" s="3"/>
      <c r="E600" s="3"/>
      <c r="F600" s="3"/>
    </row>
    <row r="601" spans="3:6" ht="12.75" x14ac:dyDescent="0.35">
      <c r="C601" s="3"/>
      <c r="D601" s="3"/>
      <c r="E601" s="3"/>
      <c r="F601" s="3"/>
    </row>
    <row r="602" spans="3:6" ht="12.75" x14ac:dyDescent="0.35">
      <c r="C602" s="3"/>
      <c r="D602" s="3"/>
      <c r="E602" s="3"/>
      <c r="F602" s="3"/>
    </row>
    <row r="603" spans="3:6" ht="12.75" x14ac:dyDescent="0.35">
      <c r="C603" s="3"/>
      <c r="D603" s="3"/>
      <c r="E603" s="3"/>
      <c r="F603" s="3"/>
    </row>
    <row r="604" spans="3:6" ht="12.75" x14ac:dyDescent="0.35">
      <c r="C604" s="3"/>
      <c r="D604" s="3"/>
      <c r="E604" s="3"/>
      <c r="F604" s="3"/>
    </row>
    <row r="605" spans="3:6" ht="12.75" x14ac:dyDescent="0.35">
      <c r="C605" s="3"/>
      <c r="D605" s="3"/>
      <c r="E605" s="3"/>
      <c r="F605" s="3"/>
    </row>
    <row r="606" spans="3:6" ht="12.75" x14ac:dyDescent="0.35">
      <c r="C606" s="3"/>
      <c r="D606" s="3"/>
      <c r="E606" s="3"/>
      <c r="F606" s="3"/>
    </row>
    <row r="607" spans="3:6" ht="12.75" x14ac:dyDescent="0.35">
      <c r="C607" s="3"/>
      <c r="D607" s="3"/>
      <c r="E607" s="3"/>
      <c r="F607" s="3"/>
    </row>
    <row r="608" spans="3:6" ht="12.75" x14ac:dyDescent="0.35">
      <c r="C608" s="3"/>
      <c r="D608" s="3"/>
      <c r="E608" s="3"/>
      <c r="F608" s="3"/>
    </row>
    <row r="609" spans="3:6" ht="12.75" x14ac:dyDescent="0.35">
      <c r="C609" s="3"/>
      <c r="D609" s="3"/>
      <c r="E609" s="3"/>
      <c r="F609" s="3"/>
    </row>
    <row r="610" spans="3:6" ht="12.75" x14ac:dyDescent="0.35">
      <c r="C610" s="3"/>
      <c r="D610" s="3"/>
      <c r="E610" s="3"/>
      <c r="F610" s="3"/>
    </row>
    <row r="611" spans="3:6" ht="12.75" x14ac:dyDescent="0.35">
      <c r="C611" s="3"/>
      <c r="D611" s="3"/>
      <c r="E611" s="3"/>
      <c r="F611" s="3"/>
    </row>
    <row r="612" spans="3:6" ht="12.75" x14ac:dyDescent="0.35">
      <c r="C612" s="3"/>
      <c r="D612" s="3"/>
      <c r="E612" s="3"/>
      <c r="F612" s="3"/>
    </row>
    <row r="613" spans="3:6" ht="12.75" x14ac:dyDescent="0.35">
      <c r="C613" s="3"/>
      <c r="D613" s="3"/>
      <c r="E613" s="3"/>
      <c r="F613" s="3"/>
    </row>
    <row r="614" spans="3:6" ht="12.75" x14ac:dyDescent="0.35">
      <c r="C614" s="3"/>
      <c r="D614" s="3"/>
      <c r="E614" s="3"/>
      <c r="F614" s="3"/>
    </row>
    <row r="615" spans="3:6" ht="12.75" x14ac:dyDescent="0.35">
      <c r="C615" s="3"/>
      <c r="D615" s="3"/>
      <c r="E615" s="3"/>
      <c r="F615" s="3"/>
    </row>
    <row r="616" spans="3:6" ht="12.75" x14ac:dyDescent="0.35">
      <c r="C616" s="3"/>
      <c r="D616" s="3"/>
      <c r="E616" s="3"/>
      <c r="F616" s="3"/>
    </row>
    <row r="617" spans="3:6" ht="12.75" x14ac:dyDescent="0.35">
      <c r="C617" s="3"/>
      <c r="D617" s="3"/>
      <c r="E617" s="3"/>
      <c r="F617" s="3"/>
    </row>
    <row r="618" spans="3:6" ht="12.75" x14ac:dyDescent="0.35">
      <c r="C618" s="3"/>
      <c r="D618" s="3"/>
      <c r="E618" s="3"/>
      <c r="F618" s="3"/>
    </row>
    <row r="619" spans="3:6" ht="12.75" x14ac:dyDescent="0.35">
      <c r="C619" s="3"/>
      <c r="D619" s="3"/>
      <c r="E619" s="3"/>
      <c r="F619" s="3"/>
    </row>
    <row r="620" spans="3:6" ht="12.75" x14ac:dyDescent="0.35">
      <c r="C620" s="3"/>
      <c r="D620" s="3"/>
      <c r="E620" s="3"/>
      <c r="F620" s="3"/>
    </row>
    <row r="621" spans="3:6" ht="12.75" x14ac:dyDescent="0.35">
      <c r="C621" s="3"/>
      <c r="D621" s="3"/>
      <c r="E621" s="3"/>
      <c r="F621" s="3"/>
    </row>
    <row r="622" spans="3:6" ht="12.75" x14ac:dyDescent="0.35">
      <c r="C622" s="3"/>
      <c r="D622" s="3"/>
      <c r="E622" s="3"/>
      <c r="F622" s="3"/>
    </row>
    <row r="623" spans="3:6" ht="12.75" x14ac:dyDescent="0.35">
      <c r="C623" s="3"/>
      <c r="D623" s="3"/>
      <c r="E623" s="3"/>
      <c r="F623" s="3"/>
    </row>
    <row r="624" spans="3:6" ht="12.75" x14ac:dyDescent="0.35">
      <c r="C624" s="3"/>
      <c r="D624" s="3"/>
      <c r="E624" s="3"/>
      <c r="F624" s="3"/>
    </row>
    <row r="625" spans="3:6" ht="12.75" x14ac:dyDescent="0.35">
      <c r="C625" s="3"/>
      <c r="D625" s="3"/>
      <c r="E625" s="3"/>
      <c r="F625" s="3"/>
    </row>
    <row r="626" spans="3:6" ht="12.75" x14ac:dyDescent="0.35">
      <c r="C626" s="3"/>
      <c r="D626" s="3"/>
      <c r="E626" s="3"/>
      <c r="F626" s="3"/>
    </row>
    <row r="627" spans="3:6" ht="12.75" x14ac:dyDescent="0.35">
      <c r="C627" s="3"/>
      <c r="D627" s="3"/>
      <c r="E627" s="3"/>
      <c r="F627" s="3"/>
    </row>
    <row r="628" spans="3:6" ht="12.75" x14ac:dyDescent="0.35">
      <c r="C628" s="3"/>
      <c r="D628" s="3"/>
      <c r="E628" s="3"/>
      <c r="F628" s="3"/>
    </row>
    <row r="629" spans="3:6" ht="12.75" x14ac:dyDescent="0.35">
      <c r="C629" s="3"/>
      <c r="D629" s="3"/>
      <c r="E629" s="3"/>
      <c r="F629" s="3"/>
    </row>
    <row r="630" spans="3:6" ht="12.75" x14ac:dyDescent="0.35">
      <c r="C630" s="3"/>
      <c r="D630" s="3"/>
      <c r="E630" s="3"/>
      <c r="F630" s="3"/>
    </row>
    <row r="631" spans="3:6" ht="12.75" x14ac:dyDescent="0.35">
      <c r="C631" s="3"/>
      <c r="D631" s="3"/>
      <c r="E631" s="3"/>
      <c r="F631" s="3"/>
    </row>
    <row r="632" spans="3:6" ht="12.75" x14ac:dyDescent="0.35">
      <c r="C632" s="3"/>
      <c r="D632" s="3"/>
      <c r="E632" s="3"/>
      <c r="F632" s="3"/>
    </row>
    <row r="633" spans="3:6" ht="12.75" x14ac:dyDescent="0.35">
      <c r="C633" s="3"/>
      <c r="D633" s="3"/>
      <c r="E633" s="3"/>
      <c r="F633" s="3"/>
    </row>
    <row r="634" spans="3:6" ht="12.75" x14ac:dyDescent="0.35">
      <c r="C634" s="3"/>
      <c r="D634" s="3"/>
      <c r="E634" s="3"/>
      <c r="F634" s="3"/>
    </row>
    <row r="635" spans="3:6" ht="12.75" x14ac:dyDescent="0.35">
      <c r="C635" s="3"/>
      <c r="D635" s="3"/>
      <c r="E635" s="3"/>
      <c r="F635" s="3"/>
    </row>
    <row r="636" spans="3:6" ht="12.75" x14ac:dyDescent="0.35">
      <c r="C636" s="3"/>
      <c r="D636" s="3"/>
      <c r="E636" s="3"/>
      <c r="F636" s="3"/>
    </row>
    <row r="637" spans="3:6" ht="12.75" x14ac:dyDescent="0.35">
      <c r="C637" s="3"/>
      <c r="D637" s="3"/>
      <c r="E637" s="3"/>
      <c r="F637" s="3"/>
    </row>
    <row r="638" spans="3:6" ht="12.75" x14ac:dyDescent="0.35">
      <c r="C638" s="3"/>
      <c r="D638" s="3"/>
      <c r="E638" s="3"/>
      <c r="F638" s="3"/>
    </row>
    <row r="639" spans="3:6" ht="12.75" x14ac:dyDescent="0.35">
      <c r="C639" s="3"/>
      <c r="D639" s="3"/>
      <c r="E639" s="3"/>
      <c r="F639" s="3"/>
    </row>
    <row r="640" spans="3:6" ht="12.75" x14ac:dyDescent="0.35">
      <c r="C640" s="3"/>
      <c r="D640" s="3"/>
      <c r="E640" s="3"/>
      <c r="F640" s="3"/>
    </row>
    <row r="641" spans="3:6" ht="12.75" x14ac:dyDescent="0.35">
      <c r="C641" s="3"/>
      <c r="D641" s="3"/>
      <c r="E641" s="3"/>
      <c r="F641" s="3"/>
    </row>
    <row r="642" spans="3:6" ht="12.75" x14ac:dyDescent="0.35">
      <c r="C642" s="3"/>
      <c r="D642" s="3"/>
      <c r="E642" s="3"/>
      <c r="F642" s="3"/>
    </row>
    <row r="643" spans="3:6" ht="12.75" x14ac:dyDescent="0.35">
      <c r="C643" s="3"/>
      <c r="D643" s="3"/>
      <c r="E643" s="3"/>
      <c r="F643" s="3"/>
    </row>
    <row r="644" spans="3:6" ht="12.75" x14ac:dyDescent="0.35">
      <c r="C644" s="3"/>
      <c r="D644" s="3"/>
      <c r="E644" s="3"/>
      <c r="F644" s="3"/>
    </row>
    <row r="645" spans="3:6" ht="12.75" x14ac:dyDescent="0.35">
      <c r="C645" s="3"/>
      <c r="D645" s="3"/>
      <c r="E645" s="3"/>
      <c r="F645" s="3"/>
    </row>
    <row r="646" spans="3:6" ht="12.75" x14ac:dyDescent="0.35">
      <c r="C646" s="3"/>
      <c r="D646" s="3"/>
      <c r="E646" s="3"/>
      <c r="F646" s="3"/>
    </row>
    <row r="647" spans="3:6" ht="12.75" x14ac:dyDescent="0.35">
      <c r="C647" s="3"/>
      <c r="D647" s="3"/>
      <c r="E647" s="3"/>
      <c r="F647" s="3"/>
    </row>
    <row r="648" spans="3:6" ht="12.75" x14ac:dyDescent="0.35">
      <c r="C648" s="3"/>
      <c r="D648" s="3"/>
      <c r="E648" s="3"/>
      <c r="F648" s="3"/>
    </row>
    <row r="649" spans="3:6" ht="12.75" x14ac:dyDescent="0.35">
      <c r="C649" s="3"/>
      <c r="D649" s="3"/>
      <c r="E649" s="3"/>
      <c r="F649" s="3"/>
    </row>
    <row r="650" spans="3:6" ht="12.75" x14ac:dyDescent="0.35">
      <c r="C650" s="3"/>
      <c r="D650" s="3"/>
      <c r="E650" s="3"/>
      <c r="F650" s="3"/>
    </row>
    <row r="651" spans="3:6" ht="12.75" x14ac:dyDescent="0.35">
      <c r="C651" s="3"/>
      <c r="D651" s="3"/>
      <c r="E651" s="3"/>
      <c r="F651" s="3"/>
    </row>
    <row r="652" spans="3:6" ht="12.75" x14ac:dyDescent="0.35">
      <c r="C652" s="3"/>
      <c r="D652" s="3"/>
      <c r="E652" s="3"/>
      <c r="F652" s="3"/>
    </row>
    <row r="653" spans="3:6" ht="12.75" x14ac:dyDescent="0.35">
      <c r="C653" s="3"/>
      <c r="D653" s="3"/>
      <c r="E653" s="3"/>
      <c r="F653" s="3"/>
    </row>
    <row r="654" spans="3:6" ht="12.75" x14ac:dyDescent="0.35">
      <c r="C654" s="3"/>
      <c r="D654" s="3"/>
      <c r="E654" s="3"/>
      <c r="F654" s="3"/>
    </row>
    <row r="655" spans="3:6" ht="12.75" x14ac:dyDescent="0.35">
      <c r="C655" s="3"/>
      <c r="D655" s="3"/>
      <c r="E655" s="3"/>
      <c r="F655" s="3"/>
    </row>
    <row r="656" spans="3:6" ht="12.75" x14ac:dyDescent="0.35">
      <c r="C656" s="3"/>
      <c r="D656" s="3"/>
      <c r="E656" s="3"/>
      <c r="F656" s="3"/>
    </row>
    <row r="657" spans="3:6" ht="12.75" x14ac:dyDescent="0.35">
      <c r="C657" s="3"/>
      <c r="D657" s="3"/>
      <c r="E657" s="3"/>
      <c r="F657" s="3"/>
    </row>
    <row r="658" spans="3:6" ht="12.75" x14ac:dyDescent="0.35">
      <c r="C658" s="3"/>
      <c r="D658" s="3"/>
      <c r="E658" s="3"/>
      <c r="F658" s="3"/>
    </row>
    <row r="659" spans="3:6" ht="12.75" x14ac:dyDescent="0.35">
      <c r="C659" s="3"/>
      <c r="D659" s="3"/>
      <c r="E659" s="3"/>
      <c r="F659" s="3"/>
    </row>
    <row r="660" spans="3:6" ht="12.75" x14ac:dyDescent="0.35">
      <c r="C660" s="3"/>
      <c r="D660" s="3"/>
      <c r="E660" s="3"/>
      <c r="F660" s="3"/>
    </row>
    <row r="661" spans="3:6" ht="12.75" x14ac:dyDescent="0.35">
      <c r="C661" s="3"/>
      <c r="D661" s="3"/>
      <c r="E661" s="3"/>
      <c r="F661" s="3"/>
    </row>
    <row r="662" spans="3:6" ht="12.75" x14ac:dyDescent="0.35">
      <c r="C662" s="3"/>
      <c r="D662" s="3"/>
      <c r="E662" s="3"/>
      <c r="F662" s="3"/>
    </row>
    <row r="663" spans="3:6" ht="12.75" x14ac:dyDescent="0.35">
      <c r="C663" s="3"/>
      <c r="D663" s="3"/>
      <c r="E663" s="3"/>
      <c r="F663" s="3"/>
    </row>
    <row r="664" spans="3:6" ht="12.75" x14ac:dyDescent="0.35">
      <c r="C664" s="3"/>
      <c r="D664" s="3"/>
      <c r="E664" s="3"/>
      <c r="F664" s="3"/>
    </row>
    <row r="665" spans="3:6" ht="12.75" x14ac:dyDescent="0.35">
      <c r="C665" s="3"/>
      <c r="D665" s="3"/>
      <c r="E665" s="3"/>
      <c r="F665" s="3"/>
    </row>
    <row r="666" spans="3:6" ht="12.75" x14ac:dyDescent="0.35">
      <c r="C666" s="3"/>
      <c r="D666" s="3"/>
      <c r="E666" s="3"/>
      <c r="F666" s="3"/>
    </row>
    <row r="667" spans="3:6" ht="12.75" x14ac:dyDescent="0.35">
      <c r="C667" s="3"/>
      <c r="D667" s="3"/>
      <c r="E667" s="3"/>
      <c r="F667" s="3"/>
    </row>
    <row r="668" spans="3:6" ht="12.75" x14ac:dyDescent="0.35">
      <c r="C668" s="3"/>
      <c r="D668" s="3"/>
      <c r="E668" s="3"/>
      <c r="F668" s="3"/>
    </row>
    <row r="669" spans="3:6" ht="12.75" x14ac:dyDescent="0.35">
      <c r="C669" s="3"/>
      <c r="D669" s="3"/>
      <c r="E669" s="3"/>
      <c r="F669" s="3"/>
    </row>
    <row r="670" spans="3:6" ht="12.75" x14ac:dyDescent="0.35">
      <c r="C670" s="3"/>
      <c r="D670" s="3"/>
      <c r="E670" s="3"/>
      <c r="F670" s="3"/>
    </row>
    <row r="671" spans="3:6" ht="12.75" x14ac:dyDescent="0.35">
      <c r="C671" s="3"/>
      <c r="D671" s="3"/>
      <c r="E671" s="3"/>
      <c r="F671" s="3"/>
    </row>
    <row r="672" spans="3:6" ht="12.75" x14ac:dyDescent="0.35">
      <c r="C672" s="3"/>
      <c r="D672" s="3"/>
      <c r="E672" s="3"/>
      <c r="F672" s="3"/>
    </row>
    <row r="673" spans="3:6" ht="12.75" x14ac:dyDescent="0.35">
      <c r="C673" s="3"/>
      <c r="D673" s="3"/>
      <c r="E673" s="3"/>
      <c r="F673" s="3"/>
    </row>
    <row r="674" spans="3:6" ht="12.75" x14ac:dyDescent="0.35">
      <c r="C674" s="3"/>
      <c r="D674" s="3"/>
      <c r="E674" s="3"/>
      <c r="F674" s="3"/>
    </row>
    <row r="675" spans="3:6" ht="12.75" x14ac:dyDescent="0.35">
      <c r="C675" s="3"/>
      <c r="D675" s="3"/>
      <c r="E675" s="3"/>
      <c r="F675" s="3"/>
    </row>
    <row r="676" spans="3:6" ht="12.75" x14ac:dyDescent="0.35">
      <c r="C676" s="3"/>
      <c r="D676" s="3"/>
      <c r="E676" s="3"/>
      <c r="F676" s="3"/>
    </row>
    <row r="677" spans="3:6" ht="12.75" x14ac:dyDescent="0.35">
      <c r="C677" s="3"/>
      <c r="D677" s="3"/>
      <c r="E677" s="3"/>
      <c r="F677" s="3"/>
    </row>
    <row r="678" spans="3:6" ht="12.75" x14ac:dyDescent="0.35">
      <c r="C678" s="3"/>
      <c r="D678" s="3"/>
      <c r="E678" s="3"/>
      <c r="F678" s="3"/>
    </row>
    <row r="679" spans="3:6" ht="12.75" x14ac:dyDescent="0.35">
      <c r="C679" s="3"/>
      <c r="D679" s="3"/>
      <c r="E679" s="3"/>
      <c r="F679" s="3"/>
    </row>
    <row r="680" spans="3:6" ht="12.75" x14ac:dyDescent="0.35">
      <c r="C680" s="3"/>
      <c r="D680" s="3"/>
      <c r="E680" s="3"/>
      <c r="F680" s="3"/>
    </row>
    <row r="681" spans="3:6" ht="12.75" x14ac:dyDescent="0.35">
      <c r="C681" s="3"/>
      <c r="D681" s="3"/>
      <c r="E681" s="3"/>
      <c r="F681" s="3"/>
    </row>
    <row r="682" spans="3:6" ht="12.75" x14ac:dyDescent="0.35">
      <c r="C682" s="3"/>
      <c r="D682" s="3"/>
      <c r="E682" s="3"/>
      <c r="F682" s="3"/>
    </row>
    <row r="683" spans="3:6" ht="12.75" x14ac:dyDescent="0.35">
      <c r="C683" s="3"/>
      <c r="D683" s="3"/>
      <c r="E683" s="3"/>
      <c r="F683" s="3"/>
    </row>
    <row r="684" spans="3:6" ht="12.75" x14ac:dyDescent="0.35">
      <c r="C684" s="3"/>
      <c r="D684" s="3"/>
      <c r="E684" s="3"/>
      <c r="F684" s="3"/>
    </row>
    <row r="685" spans="3:6" ht="12.75" x14ac:dyDescent="0.35">
      <c r="C685" s="3"/>
      <c r="D685" s="3"/>
      <c r="E685" s="3"/>
      <c r="F685" s="3"/>
    </row>
    <row r="686" spans="3:6" ht="12.75" x14ac:dyDescent="0.35">
      <c r="C686" s="3"/>
      <c r="D686" s="3"/>
      <c r="E686" s="3"/>
      <c r="F686" s="3"/>
    </row>
    <row r="687" spans="3:6" ht="12.75" x14ac:dyDescent="0.35">
      <c r="C687" s="3"/>
      <c r="D687" s="3"/>
      <c r="E687" s="3"/>
      <c r="F687" s="3"/>
    </row>
    <row r="688" spans="3:6" ht="12.75" x14ac:dyDescent="0.35">
      <c r="C688" s="3"/>
      <c r="D688" s="3"/>
      <c r="E688" s="3"/>
      <c r="F688" s="3"/>
    </row>
    <row r="689" spans="3:6" ht="12.75" x14ac:dyDescent="0.35">
      <c r="C689" s="3"/>
      <c r="D689" s="3"/>
      <c r="E689" s="3"/>
      <c r="F689" s="3"/>
    </row>
    <row r="690" spans="3:6" ht="12.75" x14ac:dyDescent="0.35">
      <c r="C690" s="3"/>
      <c r="D690" s="3"/>
      <c r="E690" s="3"/>
      <c r="F690" s="3"/>
    </row>
    <row r="691" spans="3:6" ht="12.75" x14ac:dyDescent="0.35">
      <c r="C691" s="3"/>
      <c r="D691" s="3"/>
      <c r="E691" s="3"/>
      <c r="F691" s="3"/>
    </row>
    <row r="692" spans="3:6" ht="12.75" x14ac:dyDescent="0.35">
      <c r="C692" s="3"/>
      <c r="D692" s="3"/>
      <c r="E692" s="3"/>
      <c r="F692" s="3"/>
    </row>
    <row r="693" spans="3:6" ht="12.75" x14ac:dyDescent="0.35">
      <c r="C693" s="3"/>
      <c r="D693" s="3"/>
      <c r="E693" s="3"/>
      <c r="F693" s="3"/>
    </row>
    <row r="694" spans="3:6" ht="12.75" x14ac:dyDescent="0.35">
      <c r="C694" s="3"/>
      <c r="D694" s="3"/>
      <c r="E694" s="3"/>
      <c r="F694" s="3"/>
    </row>
    <row r="695" spans="3:6" ht="12.75" x14ac:dyDescent="0.35">
      <c r="C695" s="3"/>
      <c r="D695" s="3"/>
      <c r="E695" s="3"/>
      <c r="F695" s="3"/>
    </row>
    <row r="696" spans="3:6" ht="12.75" x14ac:dyDescent="0.35">
      <c r="C696" s="3"/>
      <c r="D696" s="3"/>
      <c r="E696" s="3"/>
      <c r="F696" s="3"/>
    </row>
    <row r="697" spans="3:6" ht="12.75" x14ac:dyDescent="0.35">
      <c r="C697" s="3"/>
      <c r="D697" s="3"/>
      <c r="E697" s="3"/>
      <c r="F697" s="3"/>
    </row>
    <row r="698" spans="3:6" ht="12.75" x14ac:dyDescent="0.35">
      <c r="C698" s="3"/>
      <c r="D698" s="3"/>
      <c r="E698" s="3"/>
      <c r="F698" s="3"/>
    </row>
    <row r="699" spans="3:6" ht="12.75" x14ac:dyDescent="0.35">
      <c r="C699" s="3"/>
      <c r="D699" s="3"/>
      <c r="E699" s="3"/>
      <c r="F699" s="3"/>
    </row>
    <row r="700" spans="3:6" ht="12.75" x14ac:dyDescent="0.35">
      <c r="C700" s="3"/>
      <c r="D700" s="3"/>
      <c r="E700" s="3"/>
      <c r="F700" s="3"/>
    </row>
    <row r="701" spans="3:6" ht="12.75" x14ac:dyDescent="0.35">
      <c r="C701" s="3"/>
      <c r="D701" s="3"/>
      <c r="E701" s="3"/>
      <c r="F701" s="3"/>
    </row>
    <row r="702" spans="3:6" ht="12.75" x14ac:dyDescent="0.35">
      <c r="C702" s="3"/>
      <c r="D702" s="3"/>
      <c r="E702" s="3"/>
      <c r="F702" s="3"/>
    </row>
    <row r="703" spans="3:6" ht="12.75" x14ac:dyDescent="0.35">
      <c r="C703" s="3"/>
      <c r="D703" s="3"/>
      <c r="E703" s="3"/>
      <c r="F703" s="3"/>
    </row>
    <row r="704" spans="3:6" ht="12.75" x14ac:dyDescent="0.35">
      <c r="C704" s="3"/>
      <c r="D704" s="3"/>
      <c r="E704" s="3"/>
      <c r="F704" s="3"/>
    </row>
    <row r="705" spans="3:6" ht="12.75" x14ac:dyDescent="0.35">
      <c r="C705" s="3"/>
      <c r="D705" s="3"/>
      <c r="E705" s="3"/>
      <c r="F705" s="3"/>
    </row>
    <row r="706" spans="3:6" ht="12.75" x14ac:dyDescent="0.35">
      <c r="C706" s="3"/>
      <c r="D706" s="3"/>
      <c r="E706" s="3"/>
      <c r="F706" s="3"/>
    </row>
    <row r="707" spans="3:6" ht="12.75" x14ac:dyDescent="0.35">
      <c r="C707" s="3"/>
      <c r="D707" s="3"/>
      <c r="E707" s="3"/>
      <c r="F707" s="3"/>
    </row>
    <row r="708" spans="3:6" ht="12.75" x14ac:dyDescent="0.35">
      <c r="C708" s="3"/>
      <c r="D708" s="3"/>
      <c r="E708" s="3"/>
      <c r="F708" s="3"/>
    </row>
    <row r="709" spans="3:6" ht="12.75" x14ac:dyDescent="0.35">
      <c r="C709" s="3"/>
      <c r="D709" s="3"/>
      <c r="E709" s="3"/>
      <c r="F709" s="3"/>
    </row>
    <row r="710" spans="3:6" ht="12.75" x14ac:dyDescent="0.35">
      <c r="C710" s="3"/>
      <c r="D710" s="3"/>
      <c r="E710" s="3"/>
      <c r="F710" s="3"/>
    </row>
    <row r="711" spans="3:6" ht="12.75" x14ac:dyDescent="0.35">
      <c r="C711" s="3"/>
      <c r="D711" s="3"/>
      <c r="E711" s="3"/>
      <c r="F711" s="3"/>
    </row>
    <row r="712" spans="3:6" ht="12.75" x14ac:dyDescent="0.35">
      <c r="C712" s="3"/>
      <c r="D712" s="3"/>
      <c r="E712" s="3"/>
      <c r="F712" s="3"/>
    </row>
    <row r="713" spans="3:6" ht="12.75" x14ac:dyDescent="0.35">
      <c r="C713" s="3"/>
      <c r="D713" s="3"/>
      <c r="E713" s="3"/>
      <c r="F713" s="3"/>
    </row>
    <row r="714" spans="3:6" ht="12.75" x14ac:dyDescent="0.35">
      <c r="C714" s="3"/>
      <c r="D714" s="3"/>
      <c r="E714" s="3"/>
      <c r="F714" s="3"/>
    </row>
    <row r="715" spans="3:6" ht="12.75" x14ac:dyDescent="0.35">
      <c r="C715" s="3"/>
      <c r="D715" s="3"/>
      <c r="E715" s="3"/>
      <c r="F715" s="3"/>
    </row>
    <row r="716" spans="3:6" ht="12.75" x14ac:dyDescent="0.35">
      <c r="C716" s="3"/>
      <c r="D716" s="3"/>
      <c r="E716" s="3"/>
      <c r="F716" s="3"/>
    </row>
    <row r="717" spans="3:6" ht="12.75" x14ac:dyDescent="0.35">
      <c r="C717" s="3"/>
      <c r="D717" s="3"/>
      <c r="E717" s="3"/>
      <c r="F717" s="3"/>
    </row>
    <row r="718" spans="3:6" ht="12.75" x14ac:dyDescent="0.35">
      <c r="C718" s="3"/>
      <c r="D718" s="3"/>
      <c r="E718" s="3"/>
      <c r="F718" s="3"/>
    </row>
    <row r="719" spans="3:6" ht="12.75" x14ac:dyDescent="0.35">
      <c r="C719" s="3"/>
      <c r="D719" s="3"/>
      <c r="E719" s="3"/>
      <c r="F719" s="3"/>
    </row>
    <row r="720" spans="3:6" ht="12.75" x14ac:dyDescent="0.35">
      <c r="C720" s="3"/>
      <c r="D720" s="3"/>
      <c r="E720" s="3"/>
      <c r="F720" s="3"/>
    </row>
    <row r="721" spans="3:6" ht="12.75" x14ac:dyDescent="0.35">
      <c r="C721" s="3"/>
      <c r="D721" s="3"/>
      <c r="E721" s="3"/>
      <c r="F721" s="3"/>
    </row>
    <row r="722" spans="3:6" ht="12.75" x14ac:dyDescent="0.35">
      <c r="C722" s="3"/>
      <c r="D722" s="3"/>
      <c r="E722" s="3"/>
      <c r="F722" s="3"/>
    </row>
    <row r="723" spans="3:6" ht="12.75" x14ac:dyDescent="0.35">
      <c r="C723" s="3"/>
      <c r="D723" s="3"/>
      <c r="E723" s="3"/>
      <c r="F723" s="3"/>
    </row>
    <row r="724" spans="3:6" ht="12.75" x14ac:dyDescent="0.35">
      <c r="C724" s="3"/>
      <c r="D724" s="3"/>
      <c r="E724" s="3"/>
      <c r="F724" s="3"/>
    </row>
    <row r="725" spans="3:6" ht="12.75" x14ac:dyDescent="0.35">
      <c r="C725" s="3"/>
      <c r="D725" s="3"/>
      <c r="E725" s="3"/>
      <c r="F725" s="3"/>
    </row>
    <row r="726" spans="3:6" ht="12.75" x14ac:dyDescent="0.35">
      <c r="C726" s="3"/>
      <c r="D726" s="3"/>
      <c r="E726" s="3"/>
      <c r="F726" s="3"/>
    </row>
    <row r="727" spans="3:6" ht="12.75" x14ac:dyDescent="0.35">
      <c r="C727" s="3"/>
      <c r="D727" s="3"/>
      <c r="E727" s="3"/>
      <c r="F727" s="3"/>
    </row>
    <row r="728" spans="3:6" ht="12.75" x14ac:dyDescent="0.35">
      <c r="C728" s="3"/>
      <c r="D728" s="3"/>
      <c r="E728" s="3"/>
      <c r="F728" s="3"/>
    </row>
    <row r="729" spans="3:6" ht="12.75" x14ac:dyDescent="0.35">
      <c r="C729" s="3"/>
      <c r="D729" s="3"/>
      <c r="E729" s="3"/>
      <c r="F729" s="3"/>
    </row>
    <row r="730" spans="3:6" ht="12.75" x14ac:dyDescent="0.35">
      <c r="C730" s="3"/>
      <c r="D730" s="3"/>
      <c r="E730" s="3"/>
      <c r="F730" s="3"/>
    </row>
    <row r="731" spans="3:6" ht="12.75" x14ac:dyDescent="0.35">
      <c r="C731" s="3"/>
      <c r="D731" s="3"/>
      <c r="E731" s="3"/>
      <c r="F731" s="3"/>
    </row>
    <row r="732" spans="3:6" ht="12.75" x14ac:dyDescent="0.35">
      <c r="C732" s="3"/>
      <c r="D732" s="3"/>
      <c r="E732" s="3"/>
      <c r="F732" s="3"/>
    </row>
    <row r="733" spans="3:6" ht="12.75" x14ac:dyDescent="0.35">
      <c r="C733" s="3"/>
      <c r="D733" s="3"/>
      <c r="E733" s="3"/>
      <c r="F733" s="3"/>
    </row>
    <row r="734" spans="3:6" ht="12.75" x14ac:dyDescent="0.35">
      <c r="C734" s="3"/>
      <c r="D734" s="3"/>
      <c r="E734" s="3"/>
      <c r="F734" s="3"/>
    </row>
    <row r="735" spans="3:6" ht="12.75" x14ac:dyDescent="0.35">
      <c r="C735" s="3"/>
      <c r="D735" s="3"/>
      <c r="E735" s="3"/>
      <c r="F735" s="3"/>
    </row>
    <row r="736" spans="3:6" ht="12.75" x14ac:dyDescent="0.35">
      <c r="C736" s="3"/>
      <c r="D736" s="3"/>
      <c r="E736" s="3"/>
      <c r="F736" s="3"/>
    </row>
    <row r="737" spans="3:6" ht="12.75" x14ac:dyDescent="0.35">
      <c r="C737" s="3"/>
      <c r="D737" s="3"/>
      <c r="E737" s="3"/>
      <c r="F737" s="3"/>
    </row>
    <row r="738" spans="3:6" ht="12.75" x14ac:dyDescent="0.35">
      <c r="C738" s="3"/>
      <c r="D738" s="3"/>
      <c r="E738" s="3"/>
      <c r="F738" s="3"/>
    </row>
    <row r="739" spans="3:6" ht="12.75" x14ac:dyDescent="0.35">
      <c r="C739" s="3"/>
      <c r="D739" s="3"/>
      <c r="E739" s="3"/>
      <c r="F739" s="3"/>
    </row>
    <row r="740" spans="3:6" ht="12.75" x14ac:dyDescent="0.35">
      <c r="C740" s="3"/>
      <c r="D740" s="3"/>
      <c r="E740" s="3"/>
      <c r="F740" s="3"/>
    </row>
    <row r="741" spans="3:6" ht="12.75" x14ac:dyDescent="0.35">
      <c r="C741" s="3"/>
      <c r="D741" s="3"/>
      <c r="E741" s="3"/>
      <c r="F741" s="3"/>
    </row>
    <row r="742" spans="3:6" ht="12.75" x14ac:dyDescent="0.35">
      <c r="C742" s="3"/>
      <c r="D742" s="3"/>
      <c r="E742" s="3"/>
      <c r="F742" s="3"/>
    </row>
    <row r="743" spans="3:6" ht="12.75" x14ac:dyDescent="0.35">
      <c r="C743" s="3"/>
      <c r="D743" s="3"/>
      <c r="E743" s="3"/>
      <c r="F743" s="3"/>
    </row>
    <row r="744" spans="3:6" ht="12.75" x14ac:dyDescent="0.35">
      <c r="C744" s="3"/>
      <c r="D744" s="3"/>
      <c r="E744" s="3"/>
      <c r="F744" s="3"/>
    </row>
    <row r="745" spans="3:6" ht="12.75" x14ac:dyDescent="0.35">
      <c r="C745" s="3"/>
      <c r="D745" s="3"/>
      <c r="E745" s="3"/>
      <c r="F745" s="3"/>
    </row>
    <row r="746" spans="3:6" ht="12.75" x14ac:dyDescent="0.35">
      <c r="C746" s="3"/>
      <c r="D746" s="3"/>
      <c r="E746" s="3"/>
      <c r="F746" s="3"/>
    </row>
    <row r="747" spans="3:6" ht="12.75" x14ac:dyDescent="0.35">
      <c r="C747" s="3"/>
      <c r="D747" s="3"/>
      <c r="E747" s="3"/>
      <c r="F747" s="3"/>
    </row>
    <row r="748" spans="3:6" ht="12.75" x14ac:dyDescent="0.35">
      <c r="C748" s="3"/>
      <c r="D748" s="3"/>
      <c r="E748" s="3"/>
      <c r="F748" s="3"/>
    </row>
    <row r="749" spans="3:6" ht="12.75" x14ac:dyDescent="0.35">
      <c r="C749" s="3"/>
      <c r="D749" s="3"/>
      <c r="E749" s="3"/>
      <c r="F749" s="3"/>
    </row>
    <row r="750" spans="3:6" ht="12.75" x14ac:dyDescent="0.35">
      <c r="C750" s="3"/>
      <c r="D750" s="3"/>
      <c r="E750" s="3"/>
      <c r="F750" s="3"/>
    </row>
    <row r="751" spans="3:6" ht="12.75" x14ac:dyDescent="0.35">
      <c r="C751" s="3"/>
      <c r="D751" s="3"/>
      <c r="E751" s="3"/>
      <c r="F751" s="3"/>
    </row>
    <row r="752" spans="3:6" ht="12.75" x14ac:dyDescent="0.35">
      <c r="C752" s="3"/>
      <c r="D752" s="3"/>
      <c r="E752" s="3"/>
      <c r="F752" s="3"/>
    </row>
    <row r="753" spans="3:6" ht="12.75" x14ac:dyDescent="0.35">
      <c r="C753" s="3"/>
      <c r="D753" s="3"/>
      <c r="E753" s="3"/>
      <c r="F753" s="3"/>
    </row>
    <row r="754" spans="3:6" ht="12.75" x14ac:dyDescent="0.35">
      <c r="C754" s="3"/>
      <c r="D754" s="3"/>
      <c r="E754" s="3"/>
      <c r="F754" s="3"/>
    </row>
    <row r="755" spans="3:6" ht="12.75" x14ac:dyDescent="0.35">
      <c r="C755" s="3"/>
      <c r="D755" s="3"/>
      <c r="E755" s="3"/>
      <c r="F755" s="3"/>
    </row>
    <row r="756" spans="3:6" ht="12.75" x14ac:dyDescent="0.35">
      <c r="C756" s="3"/>
      <c r="D756" s="3"/>
      <c r="E756" s="3"/>
      <c r="F756" s="3"/>
    </row>
    <row r="757" spans="3:6" ht="12.75" x14ac:dyDescent="0.35">
      <c r="C757" s="3"/>
      <c r="D757" s="3"/>
      <c r="E757" s="3"/>
      <c r="F757" s="3"/>
    </row>
    <row r="758" spans="3:6" ht="12.75" x14ac:dyDescent="0.35">
      <c r="C758" s="3"/>
      <c r="D758" s="3"/>
      <c r="E758" s="3"/>
      <c r="F758" s="3"/>
    </row>
    <row r="759" spans="3:6" ht="12.75" x14ac:dyDescent="0.35">
      <c r="C759" s="3"/>
      <c r="D759" s="3"/>
      <c r="E759" s="3"/>
      <c r="F759" s="3"/>
    </row>
    <row r="760" spans="3:6" ht="12.75" x14ac:dyDescent="0.35">
      <c r="C760" s="3"/>
      <c r="D760" s="3"/>
      <c r="E760" s="3"/>
      <c r="F760" s="3"/>
    </row>
    <row r="761" spans="3:6" ht="12.75" x14ac:dyDescent="0.35">
      <c r="C761" s="3"/>
      <c r="D761" s="3"/>
      <c r="E761" s="3"/>
      <c r="F761" s="3"/>
    </row>
    <row r="762" spans="3:6" ht="12.75" x14ac:dyDescent="0.35">
      <c r="C762" s="3"/>
      <c r="D762" s="3"/>
      <c r="E762" s="3"/>
      <c r="F762" s="3"/>
    </row>
    <row r="763" spans="3:6" ht="12.75" x14ac:dyDescent="0.35">
      <c r="C763" s="3"/>
      <c r="D763" s="3"/>
      <c r="E763" s="3"/>
      <c r="F763" s="3"/>
    </row>
    <row r="764" spans="3:6" ht="12.75" x14ac:dyDescent="0.35">
      <c r="C764" s="3"/>
      <c r="D764" s="3"/>
      <c r="E764" s="3"/>
      <c r="F764" s="3"/>
    </row>
    <row r="765" spans="3:6" ht="12.75" x14ac:dyDescent="0.35">
      <c r="C765" s="3"/>
      <c r="D765" s="3"/>
      <c r="E765" s="3"/>
      <c r="F765" s="3"/>
    </row>
    <row r="766" spans="3:6" ht="12.75" x14ac:dyDescent="0.35">
      <c r="C766" s="3"/>
      <c r="D766" s="3"/>
      <c r="E766" s="3"/>
      <c r="F766" s="3"/>
    </row>
    <row r="767" spans="3:6" ht="12.75" x14ac:dyDescent="0.35">
      <c r="C767" s="3"/>
      <c r="D767" s="3"/>
      <c r="E767" s="3"/>
      <c r="F767" s="3"/>
    </row>
    <row r="768" spans="3:6" ht="12.75" x14ac:dyDescent="0.35">
      <c r="C768" s="3"/>
      <c r="D768" s="3"/>
      <c r="E768" s="3"/>
      <c r="F768" s="3"/>
    </row>
    <row r="769" spans="3:6" ht="12.75" x14ac:dyDescent="0.35">
      <c r="C769" s="3"/>
      <c r="D769" s="3"/>
      <c r="E769" s="3"/>
      <c r="F769" s="3"/>
    </row>
    <row r="770" spans="3:6" ht="12.75" x14ac:dyDescent="0.35">
      <c r="C770" s="3"/>
      <c r="D770" s="3"/>
      <c r="E770" s="3"/>
      <c r="F770" s="3"/>
    </row>
    <row r="771" spans="3:6" ht="12.75" x14ac:dyDescent="0.35">
      <c r="C771" s="3"/>
      <c r="D771" s="3"/>
      <c r="E771" s="3"/>
      <c r="F771" s="3"/>
    </row>
    <row r="772" spans="3:6" ht="12.75" x14ac:dyDescent="0.35">
      <c r="C772" s="3"/>
      <c r="D772" s="3"/>
      <c r="E772" s="3"/>
      <c r="F772" s="3"/>
    </row>
    <row r="773" spans="3:6" ht="12.75" x14ac:dyDescent="0.35">
      <c r="C773" s="3"/>
      <c r="D773" s="3"/>
      <c r="E773" s="3"/>
      <c r="F773" s="3"/>
    </row>
    <row r="774" spans="3:6" ht="12.75" x14ac:dyDescent="0.35">
      <c r="C774" s="3"/>
      <c r="D774" s="3"/>
      <c r="E774" s="3"/>
      <c r="F774" s="3"/>
    </row>
    <row r="775" spans="3:6" ht="12.75" x14ac:dyDescent="0.35">
      <c r="C775" s="3"/>
      <c r="D775" s="3"/>
      <c r="E775" s="3"/>
      <c r="F775" s="3"/>
    </row>
    <row r="776" spans="3:6" ht="12.75" x14ac:dyDescent="0.35">
      <c r="C776" s="3"/>
      <c r="D776" s="3"/>
      <c r="E776" s="3"/>
      <c r="F776" s="3"/>
    </row>
    <row r="777" spans="3:6" ht="12.75" x14ac:dyDescent="0.35">
      <c r="C777" s="3"/>
      <c r="D777" s="3"/>
      <c r="E777" s="3"/>
      <c r="F777" s="3"/>
    </row>
    <row r="778" spans="3:6" ht="12.75" x14ac:dyDescent="0.35">
      <c r="C778" s="3"/>
      <c r="D778" s="3"/>
      <c r="E778" s="3"/>
      <c r="F778" s="3"/>
    </row>
    <row r="779" spans="3:6" ht="12.75" x14ac:dyDescent="0.35">
      <c r="C779" s="3"/>
      <c r="D779" s="3"/>
      <c r="E779" s="3"/>
      <c r="F779" s="3"/>
    </row>
    <row r="780" spans="3:6" ht="12.75" x14ac:dyDescent="0.35">
      <c r="C780" s="3"/>
      <c r="D780" s="3"/>
      <c r="E780" s="3"/>
      <c r="F780" s="3"/>
    </row>
    <row r="781" spans="3:6" ht="12.75" x14ac:dyDescent="0.35">
      <c r="C781" s="3"/>
      <c r="D781" s="3"/>
      <c r="E781" s="3"/>
      <c r="F781" s="3"/>
    </row>
    <row r="782" spans="3:6" ht="12.75" x14ac:dyDescent="0.35">
      <c r="C782" s="3"/>
      <c r="D782" s="3"/>
      <c r="E782" s="3"/>
      <c r="F782" s="3"/>
    </row>
    <row r="783" spans="3:6" ht="12.75" x14ac:dyDescent="0.35">
      <c r="C783" s="3"/>
      <c r="D783" s="3"/>
      <c r="E783" s="3"/>
      <c r="F783" s="3"/>
    </row>
    <row r="784" spans="3:6" ht="12.75" x14ac:dyDescent="0.35">
      <c r="C784" s="3"/>
      <c r="D784" s="3"/>
      <c r="E784" s="3"/>
      <c r="F784" s="3"/>
    </row>
    <row r="785" spans="3:6" ht="12.75" x14ac:dyDescent="0.35">
      <c r="C785" s="3"/>
      <c r="D785" s="3"/>
      <c r="E785" s="3"/>
      <c r="F785" s="3"/>
    </row>
    <row r="786" spans="3:6" ht="12.75" x14ac:dyDescent="0.35">
      <c r="C786" s="3"/>
      <c r="D786" s="3"/>
      <c r="E786" s="3"/>
      <c r="F786" s="3"/>
    </row>
    <row r="787" spans="3:6" ht="12.75" x14ac:dyDescent="0.35">
      <c r="C787" s="3"/>
      <c r="D787" s="3"/>
      <c r="E787" s="3"/>
      <c r="F787" s="3"/>
    </row>
    <row r="788" spans="3:6" ht="12.75" x14ac:dyDescent="0.35">
      <c r="C788" s="3"/>
      <c r="D788" s="3"/>
      <c r="E788" s="3"/>
      <c r="F788" s="3"/>
    </row>
    <row r="789" spans="3:6" ht="12.75" x14ac:dyDescent="0.35">
      <c r="C789" s="3"/>
      <c r="D789" s="3"/>
      <c r="E789" s="3"/>
      <c r="F789" s="3"/>
    </row>
    <row r="790" spans="3:6" ht="12.75" x14ac:dyDescent="0.35">
      <c r="C790" s="3"/>
      <c r="D790" s="3"/>
      <c r="E790" s="3"/>
      <c r="F790" s="3"/>
    </row>
    <row r="791" spans="3:6" ht="12.75" x14ac:dyDescent="0.35">
      <c r="C791" s="3"/>
      <c r="D791" s="3"/>
      <c r="E791" s="3"/>
      <c r="F791" s="3"/>
    </row>
    <row r="792" spans="3:6" ht="12.75" x14ac:dyDescent="0.35">
      <c r="C792" s="3"/>
      <c r="D792" s="3"/>
      <c r="E792" s="3"/>
      <c r="F792" s="3"/>
    </row>
    <row r="793" spans="3:6" ht="12.75" x14ac:dyDescent="0.35">
      <c r="C793" s="3"/>
      <c r="D793" s="3"/>
      <c r="E793" s="3"/>
      <c r="F793" s="3"/>
    </row>
    <row r="794" spans="3:6" ht="12.75" x14ac:dyDescent="0.35">
      <c r="C794" s="3"/>
      <c r="D794" s="3"/>
      <c r="E794" s="3"/>
      <c r="F794" s="3"/>
    </row>
    <row r="795" spans="3:6" ht="12.75" x14ac:dyDescent="0.35">
      <c r="C795" s="3"/>
      <c r="D795" s="3"/>
      <c r="E795" s="3"/>
      <c r="F795" s="3"/>
    </row>
    <row r="796" spans="3:6" ht="12.75" x14ac:dyDescent="0.35">
      <c r="C796" s="3"/>
      <c r="D796" s="3"/>
      <c r="E796" s="3"/>
      <c r="F796" s="3"/>
    </row>
    <row r="797" spans="3:6" ht="12.75" x14ac:dyDescent="0.35">
      <c r="C797" s="3"/>
      <c r="D797" s="3"/>
      <c r="E797" s="3"/>
      <c r="F797" s="3"/>
    </row>
    <row r="798" spans="3:6" ht="12.75" x14ac:dyDescent="0.35">
      <c r="C798" s="3"/>
      <c r="D798" s="3"/>
      <c r="E798" s="3"/>
      <c r="F798" s="3"/>
    </row>
    <row r="799" spans="3:6" ht="12.75" x14ac:dyDescent="0.35">
      <c r="C799" s="3"/>
      <c r="D799" s="3"/>
      <c r="E799" s="3"/>
      <c r="F799" s="3"/>
    </row>
    <row r="800" spans="3:6" ht="12.75" x14ac:dyDescent="0.35">
      <c r="C800" s="3"/>
      <c r="D800" s="3"/>
      <c r="E800" s="3"/>
      <c r="F800" s="3"/>
    </row>
    <row r="801" spans="3:6" ht="12.75" x14ac:dyDescent="0.35">
      <c r="C801" s="3"/>
      <c r="D801" s="3"/>
      <c r="E801" s="3"/>
      <c r="F801" s="3"/>
    </row>
    <row r="802" spans="3:6" ht="12.75" x14ac:dyDescent="0.35">
      <c r="C802" s="3"/>
      <c r="D802" s="3"/>
      <c r="E802" s="3"/>
      <c r="F802" s="3"/>
    </row>
    <row r="803" spans="3:6" ht="12.75" x14ac:dyDescent="0.35">
      <c r="C803" s="3"/>
      <c r="D803" s="3"/>
      <c r="E803" s="3"/>
      <c r="F803" s="3"/>
    </row>
    <row r="804" spans="3:6" ht="12.75" x14ac:dyDescent="0.35">
      <c r="C804" s="3"/>
      <c r="D804" s="3"/>
      <c r="E804" s="3"/>
      <c r="F804" s="3"/>
    </row>
    <row r="805" spans="3:6" ht="12.75" x14ac:dyDescent="0.35">
      <c r="C805" s="3"/>
      <c r="D805" s="3"/>
      <c r="E805" s="3"/>
      <c r="F805" s="3"/>
    </row>
    <row r="806" spans="3:6" ht="12.75" x14ac:dyDescent="0.35">
      <c r="C806" s="3"/>
      <c r="D806" s="3"/>
      <c r="E806" s="3"/>
      <c r="F806" s="3"/>
    </row>
    <row r="807" spans="3:6" ht="12.75" x14ac:dyDescent="0.35">
      <c r="C807" s="3"/>
      <c r="D807" s="3"/>
      <c r="E807" s="3"/>
      <c r="F807" s="3"/>
    </row>
    <row r="808" spans="3:6" ht="12.75" x14ac:dyDescent="0.35">
      <c r="C808" s="3"/>
      <c r="D808" s="3"/>
      <c r="E808" s="3"/>
      <c r="F808" s="3"/>
    </row>
    <row r="809" spans="3:6" ht="12.75" x14ac:dyDescent="0.35">
      <c r="C809" s="3"/>
      <c r="D809" s="3"/>
      <c r="E809" s="3"/>
      <c r="F809" s="3"/>
    </row>
    <row r="810" spans="3:6" ht="12.75" x14ac:dyDescent="0.35">
      <c r="C810" s="3"/>
      <c r="D810" s="3"/>
      <c r="E810" s="3"/>
      <c r="F810" s="3"/>
    </row>
    <row r="811" spans="3:6" ht="12.75" x14ac:dyDescent="0.35">
      <c r="C811" s="3"/>
      <c r="D811" s="3"/>
      <c r="E811" s="3"/>
      <c r="F811" s="3"/>
    </row>
    <row r="812" spans="3:6" ht="12.75" x14ac:dyDescent="0.35">
      <c r="C812" s="3"/>
      <c r="D812" s="3"/>
      <c r="E812" s="3"/>
      <c r="F812" s="3"/>
    </row>
    <row r="813" spans="3:6" ht="12.75" x14ac:dyDescent="0.35">
      <c r="C813" s="3"/>
      <c r="D813" s="3"/>
      <c r="E813" s="3"/>
      <c r="F813" s="3"/>
    </row>
    <row r="814" spans="3:6" ht="12.75" x14ac:dyDescent="0.35">
      <c r="C814" s="3"/>
      <c r="D814" s="3"/>
      <c r="E814" s="3"/>
      <c r="F814" s="3"/>
    </row>
    <row r="815" spans="3:6" ht="12.75" x14ac:dyDescent="0.35">
      <c r="C815" s="3"/>
      <c r="D815" s="3"/>
      <c r="E815" s="3"/>
      <c r="F815" s="3"/>
    </row>
    <row r="816" spans="3:6" ht="12.75" x14ac:dyDescent="0.35">
      <c r="C816" s="3"/>
      <c r="D816" s="3"/>
      <c r="E816" s="3"/>
      <c r="F816" s="3"/>
    </row>
    <row r="817" spans="3:6" ht="12.75" x14ac:dyDescent="0.35">
      <c r="C817" s="3"/>
      <c r="D817" s="3"/>
      <c r="E817" s="3"/>
      <c r="F817" s="3"/>
    </row>
    <row r="818" spans="3:6" ht="12.75" x14ac:dyDescent="0.35">
      <c r="C818" s="3"/>
      <c r="D818" s="3"/>
      <c r="E818" s="3"/>
      <c r="F818" s="3"/>
    </row>
    <row r="819" spans="3:6" ht="12.75" x14ac:dyDescent="0.35">
      <c r="C819" s="3"/>
      <c r="D819" s="3"/>
      <c r="E819" s="3"/>
      <c r="F819" s="3"/>
    </row>
    <row r="820" spans="3:6" ht="12.75" x14ac:dyDescent="0.35">
      <c r="C820" s="3"/>
      <c r="D820" s="3"/>
      <c r="E820" s="3"/>
      <c r="F820" s="3"/>
    </row>
    <row r="821" spans="3:6" ht="12.75" x14ac:dyDescent="0.35">
      <c r="C821" s="3"/>
      <c r="D821" s="3"/>
      <c r="E821" s="3"/>
      <c r="F821" s="3"/>
    </row>
    <row r="822" spans="3:6" ht="12.75" x14ac:dyDescent="0.35">
      <c r="C822" s="3"/>
      <c r="D822" s="3"/>
      <c r="E822" s="3"/>
      <c r="F822" s="3"/>
    </row>
    <row r="823" spans="3:6" ht="12.75" x14ac:dyDescent="0.35">
      <c r="C823" s="3"/>
      <c r="D823" s="3"/>
      <c r="E823" s="3"/>
      <c r="F823" s="3"/>
    </row>
    <row r="824" spans="3:6" ht="12.75" x14ac:dyDescent="0.35">
      <c r="C824" s="3"/>
      <c r="D824" s="3"/>
      <c r="E824" s="3"/>
      <c r="F824" s="3"/>
    </row>
    <row r="825" spans="3:6" ht="12.75" x14ac:dyDescent="0.35">
      <c r="C825" s="3"/>
      <c r="D825" s="3"/>
      <c r="E825" s="3"/>
      <c r="F825" s="3"/>
    </row>
    <row r="826" spans="3:6" ht="12.75" x14ac:dyDescent="0.35">
      <c r="C826" s="3"/>
      <c r="D826" s="3"/>
      <c r="E826" s="3"/>
      <c r="F826" s="3"/>
    </row>
    <row r="827" spans="3:6" ht="12.75" x14ac:dyDescent="0.35">
      <c r="C827" s="3"/>
      <c r="D827" s="3"/>
      <c r="E827" s="3"/>
      <c r="F827" s="3"/>
    </row>
    <row r="828" spans="3:6" ht="12.75" x14ac:dyDescent="0.35">
      <c r="C828" s="3"/>
      <c r="D828" s="3"/>
      <c r="E828" s="3"/>
      <c r="F828" s="3"/>
    </row>
    <row r="829" spans="3:6" ht="12.75" x14ac:dyDescent="0.35">
      <c r="C829" s="3"/>
      <c r="D829" s="3"/>
      <c r="E829" s="3"/>
      <c r="F829" s="3"/>
    </row>
    <row r="830" spans="3:6" ht="12.75" x14ac:dyDescent="0.35">
      <c r="C830" s="3"/>
      <c r="D830" s="3"/>
      <c r="E830" s="3"/>
      <c r="F830" s="3"/>
    </row>
    <row r="831" spans="3:6" ht="12.75" x14ac:dyDescent="0.35">
      <c r="C831" s="3"/>
      <c r="D831" s="3"/>
      <c r="E831" s="3"/>
      <c r="F831" s="3"/>
    </row>
    <row r="832" spans="3:6" ht="12.75" x14ac:dyDescent="0.35">
      <c r="C832" s="3"/>
      <c r="D832" s="3"/>
      <c r="E832" s="3"/>
      <c r="F832" s="3"/>
    </row>
    <row r="833" spans="3:6" ht="12.75" x14ac:dyDescent="0.35">
      <c r="C833" s="3"/>
      <c r="D833" s="3"/>
      <c r="E833" s="3"/>
      <c r="F833" s="3"/>
    </row>
    <row r="834" spans="3:6" ht="12.75" x14ac:dyDescent="0.35">
      <c r="C834" s="3"/>
      <c r="D834" s="3"/>
      <c r="E834" s="3"/>
      <c r="F834" s="3"/>
    </row>
    <row r="835" spans="3:6" ht="12.75" x14ac:dyDescent="0.35">
      <c r="C835" s="3"/>
      <c r="D835" s="3"/>
      <c r="E835" s="3"/>
      <c r="F835" s="3"/>
    </row>
    <row r="836" spans="3:6" ht="12.75" x14ac:dyDescent="0.35">
      <c r="C836" s="3"/>
      <c r="D836" s="3"/>
      <c r="E836" s="3"/>
      <c r="F836" s="3"/>
    </row>
    <row r="837" spans="3:6" ht="12.75" x14ac:dyDescent="0.35">
      <c r="C837" s="3"/>
      <c r="D837" s="3"/>
      <c r="E837" s="3"/>
      <c r="F837" s="3"/>
    </row>
    <row r="838" spans="3:6" ht="12.75" x14ac:dyDescent="0.35">
      <c r="C838" s="3"/>
      <c r="D838" s="3"/>
      <c r="E838" s="3"/>
      <c r="F838" s="3"/>
    </row>
    <row r="839" spans="3:6" ht="12.75" x14ac:dyDescent="0.35">
      <c r="C839" s="3"/>
      <c r="D839" s="3"/>
      <c r="E839" s="3"/>
      <c r="F839" s="3"/>
    </row>
    <row r="840" spans="3:6" ht="12.75" x14ac:dyDescent="0.35">
      <c r="C840" s="3"/>
      <c r="D840" s="3"/>
      <c r="E840" s="3"/>
      <c r="F840" s="3"/>
    </row>
    <row r="841" spans="3:6" ht="12.75" x14ac:dyDescent="0.35">
      <c r="C841" s="3"/>
      <c r="D841" s="3"/>
      <c r="E841" s="3"/>
      <c r="F841" s="3"/>
    </row>
    <row r="842" spans="3:6" ht="12.75" x14ac:dyDescent="0.35">
      <c r="C842" s="3"/>
      <c r="D842" s="3"/>
      <c r="E842" s="3"/>
      <c r="F842" s="3"/>
    </row>
    <row r="843" spans="3:6" ht="12.75" x14ac:dyDescent="0.35">
      <c r="C843" s="3"/>
      <c r="D843" s="3"/>
      <c r="E843" s="3"/>
      <c r="F843" s="3"/>
    </row>
    <row r="844" spans="3:6" ht="12.75" x14ac:dyDescent="0.35">
      <c r="C844" s="3"/>
      <c r="D844" s="3"/>
      <c r="E844" s="3"/>
      <c r="F844" s="3"/>
    </row>
    <row r="845" spans="3:6" ht="12.75" x14ac:dyDescent="0.35">
      <c r="C845" s="3"/>
      <c r="D845" s="3"/>
      <c r="E845" s="3"/>
      <c r="F845" s="3"/>
    </row>
    <row r="846" spans="3:6" ht="12.75" x14ac:dyDescent="0.35">
      <c r="C846" s="3"/>
      <c r="D846" s="3"/>
      <c r="E846" s="3"/>
      <c r="F846" s="3"/>
    </row>
    <row r="847" spans="3:6" ht="12.75" x14ac:dyDescent="0.35">
      <c r="C847" s="3"/>
      <c r="D847" s="3"/>
      <c r="E847" s="3"/>
      <c r="F847" s="3"/>
    </row>
    <row r="848" spans="3:6" ht="12.75" x14ac:dyDescent="0.35">
      <c r="C848" s="3"/>
      <c r="D848" s="3"/>
      <c r="E848" s="3"/>
      <c r="F848" s="3"/>
    </row>
    <row r="849" spans="3:6" ht="12.75" x14ac:dyDescent="0.35">
      <c r="C849" s="3"/>
      <c r="D849" s="3"/>
      <c r="E849" s="3"/>
      <c r="F849" s="3"/>
    </row>
    <row r="850" spans="3:6" ht="12.75" x14ac:dyDescent="0.35">
      <c r="C850" s="3"/>
      <c r="D850" s="3"/>
      <c r="E850" s="3"/>
      <c r="F850" s="3"/>
    </row>
    <row r="851" spans="3:6" ht="12.75" x14ac:dyDescent="0.35">
      <c r="C851" s="3"/>
      <c r="D851" s="3"/>
      <c r="E851" s="3"/>
      <c r="F851" s="3"/>
    </row>
    <row r="852" spans="3:6" ht="12.75" x14ac:dyDescent="0.35">
      <c r="C852" s="3"/>
      <c r="D852" s="3"/>
      <c r="E852" s="3"/>
      <c r="F852" s="3"/>
    </row>
    <row r="853" spans="3:6" ht="12.75" x14ac:dyDescent="0.35">
      <c r="C853" s="3"/>
      <c r="D853" s="3"/>
      <c r="E853" s="3"/>
      <c r="F853" s="3"/>
    </row>
    <row r="854" spans="3:6" ht="12.75" x14ac:dyDescent="0.35">
      <c r="C854" s="3"/>
      <c r="D854" s="3"/>
      <c r="E854" s="3"/>
      <c r="F854" s="3"/>
    </row>
    <row r="855" spans="3:6" ht="12.75" x14ac:dyDescent="0.35">
      <c r="C855" s="3"/>
      <c r="D855" s="3"/>
      <c r="E855" s="3"/>
      <c r="F855" s="3"/>
    </row>
    <row r="856" spans="3:6" ht="12.75" x14ac:dyDescent="0.35">
      <c r="C856" s="3"/>
      <c r="D856" s="3"/>
      <c r="E856" s="3"/>
      <c r="F856" s="3"/>
    </row>
    <row r="857" spans="3:6" ht="12.75" x14ac:dyDescent="0.35">
      <c r="C857" s="3"/>
      <c r="D857" s="3"/>
      <c r="E857" s="3"/>
      <c r="F857" s="3"/>
    </row>
    <row r="858" spans="3:6" ht="12.75" x14ac:dyDescent="0.35">
      <c r="C858" s="3"/>
      <c r="D858" s="3"/>
      <c r="E858" s="3"/>
      <c r="F858" s="3"/>
    </row>
    <row r="859" spans="3:6" ht="12.75" x14ac:dyDescent="0.35">
      <c r="C859" s="3"/>
      <c r="D859" s="3"/>
      <c r="E859" s="3"/>
      <c r="F859" s="3"/>
    </row>
    <row r="860" spans="3:6" ht="12.75" x14ac:dyDescent="0.35">
      <c r="C860" s="3"/>
      <c r="D860" s="3"/>
      <c r="E860" s="3"/>
      <c r="F860" s="3"/>
    </row>
    <row r="861" spans="3:6" ht="12.75" x14ac:dyDescent="0.35">
      <c r="C861" s="3"/>
      <c r="D861" s="3"/>
      <c r="E861" s="3"/>
      <c r="F861" s="3"/>
    </row>
    <row r="862" spans="3:6" ht="12.75" x14ac:dyDescent="0.35">
      <c r="C862" s="3"/>
      <c r="D862" s="3"/>
      <c r="E862" s="3"/>
      <c r="F862" s="3"/>
    </row>
    <row r="863" spans="3:6" ht="12.75" x14ac:dyDescent="0.35">
      <c r="C863" s="3"/>
      <c r="D863" s="3"/>
      <c r="E863" s="3"/>
      <c r="F863" s="3"/>
    </row>
    <row r="864" spans="3:6" ht="12.75" x14ac:dyDescent="0.35">
      <c r="C864" s="3"/>
      <c r="D864" s="3"/>
      <c r="E864" s="3"/>
      <c r="F864" s="3"/>
    </row>
    <row r="865" spans="3:6" ht="12.75" x14ac:dyDescent="0.35">
      <c r="C865" s="3"/>
      <c r="D865" s="3"/>
      <c r="E865" s="3"/>
      <c r="F865" s="3"/>
    </row>
    <row r="866" spans="3:6" ht="12.75" x14ac:dyDescent="0.35">
      <c r="C866" s="3"/>
      <c r="D866" s="3"/>
      <c r="E866" s="3"/>
      <c r="F866" s="3"/>
    </row>
    <row r="867" spans="3:6" ht="12.75" x14ac:dyDescent="0.35">
      <c r="C867" s="3"/>
      <c r="D867" s="3"/>
      <c r="E867" s="3"/>
      <c r="F867" s="3"/>
    </row>
    <row r="868" spans="3:6" ht="12.75" x14ac:dyDescent="0.35">
      <c r="C868" s="3"/>
      <c r="D868" s="3"/>
      <c r="E868" s="3"/>
      <c r="F868" s="3"/>
    </row>
    <row r="869" spans="3:6" ht="12.75" x14ac:dyDescent="0.35">
      <c r="C869" s="3"/>
      <c r="D869" s="3"/>
      <c r="E869" s="3"/>
      <c r="F869" s="3"/>
    </row>
    <row r="870" spans="3:6" ht="12.75" x14ac:dyDescent="0.35">
      <c r="C870" s="3"/>
      <c r="D870" s="3"/>
      <c r="E870" s="3"/>
      <c r="F870" s="3"/>
    </row>
    <row r="871" spans="3:6" ht="12.75" x14ac:dyDescent="0.35">
      <c r="C871" s="3"/>
      <c r="D871" s="3"/>
      <c r="E871" s="3"/>
      <c r="F871" s="3"/>
    </row>
    <row r="872" spans="3:6" ht="12.75" x14ac:dyDescent="0.35">
      <c r="C872" s="3"/>
      <c r="D872" s="3"/>
      <c r="E872" s="3"/>
      <c r="F872" s="3"/>
    </row>
    <row r="873" spans="3:6" ht="12.75" x14ac:dyDescent="0.35">
      <c r="C873" s="3"/>
      <c r="D873" s="3"/>
      <c r="E873" s="3"/>
      <c r="F873" s="3"/>
    </row>
    <row r="874" spans="3:6" ht="12.75" x14ac:dyDescent="0.35">
      <c r="C874" s="3"/>
      <c r="D874" s="3"/>
      <c r="E874" s="3"/>
      <c r="F874" s="3"/>
    </row>
    <row r="875" spans="3:6" ht="12.75" x14ac:dyDescent="0.35">
      <c r="C875" s="3"/>
      <c r="D875" s="3"/>
      <c r="E875" s="3"/>
      <c r="F875" s="3"/>
    </row>
    <row r="876" spans="3:6" ht="12.75" x14ac:dyDescent="0.35">
      <c r="C876" s="3"/>
      <c r="D876" s="3"/>
      <c r="E876" s="3"/>
      <c r="F876" s="3"/>
    </row>
    <row r="877" spans="3:6" ht="12.75" x14ac:dyDescent="0.35">
      <c r="C877" s="3"/>
      <c r="D877" s="3"/>
      <c r="E877" s="3"/>
      <c r="F877" s="3"/>
    </row>
    <row r="878" spans="3:6" ht="12.75" x14ac:dyDescent="0.35">
      <c r="C878" s="3"/>
      <c r="D878" s="3"/>
      <c r="E878" s="3"/>
      <c r="F878" s="3"/>
    </row>
    <row r="879" spans="3:6" ht="12.75" x14ac:dyDescent="0.35">
      <c r="C879" s="3"/>
      <c r="D879" s="3"/>
      <c r="E879" s="3"/>
      <c r="F879" s="3"/>
    </row>
    <row r="880" spans="3:6" ht="12.75" x14ac:dyDescent="0.35">
      <c r="C880" s="3"/>
      <c r="D880" s="3"/>
      <c r="E880" s="3"/>
      <c r="F880" s="3"/>
    </row>
    <row r="881" spans="3:6" ht="12.75" x14ac:dyDescent="0.35">
      <c r="C881" s="3"/>
      <c r="D881" s="3"/>
      <c r="E881" s="3"/>
      <c r="F881" s="3"/>
    </row>
    <row r="882" spans="3:6" ht="12.75" x14ac:dyDescent="0.35">
      <c r="C882" s="3"/>
      <c r="D882" s="3"/>
      <c r="E882" s="3"/>
      <c r="F882" s="3"/>
    </row>
    <row r="883" spans="3:6" ht="12.75" x14ac:dyDescent="0.35">
      <c r="C883" s="3"/>
      <c r="D883" s="3"/>
      <c r="E883" s="3"/>
      <c r="F883" s="3"/>
    </row>
    <row r="884" spans="3:6" ht="12.75" x14ac:dyDescent="0.35">
      <c r="C884" s="3"/>
      <c r="D884" s="3"/>
      <c r="E884" s="3"/>
      <c r="F884" s="3"/>
    </row>
    <row r="885" spans="3:6" ht="12.75" x14ac:dyDescent="0.35">
      <c r="C885" s="3"/>
      <c r="D885" s="3"/>
      <c r="E885" s="3"/>
      <c r="F885" s="3"/>
    </row>
    <row r="886" spans="3:6" ht="12.75" x14ac:dyDescent="0.35">
      <c r="C886" s="3"/>
      <c r="D886" s="3"/>
      <c r="E886" s="3"/>
      <c r="F886" s="3"/>
    </row>
    <row r="887" spans="3:6" ht="12.75" x14ac:dyDescent="0.35">
      <c r="C887" s="3"/>
      <c r="D887" s="3"/>
      <c r="E887" s="3"/>
      <c r="F887" s="3"/>
    </row>
    <row r="888" spans="3:6" ht="12.75" x14ac:dyDescent="0.35">
      <c r="C888" s="3"/>
      <c r="D888" s="3"/>
      <c r="E888" s="3"/>
      <c r="F888" s="3"/>
    </row>
    <row r="889" spans="3:6" ht="12.75" x14ac:dyDescent="0.35">
      <c r="C889" s="3"/>
      <c r="D889" s="3"/>
      <c r="E889" s="3"/>
      <c r="F889" s="3"/>
    </row>
    <row r="890" spans="3:6" ht="12.75" x14ac:dyDescent="0.35">
      <c r="C890" s="3"/>
      <c r="D890" s="3"/>
      <c r="E890" s="3"/>
      <c r="F890" s="3"/>
    </row>
    <row r="891" spans="3:6" ht="12.75" x14ac:dyDescent="0.35">
      <c r="C891" s="3"/>
      <c r="D891" s="3"/>
      <c r="E891" s="3"/>
      <c r="F891" s="3"/>
    </row>
    <row r="892" spans="3:6" ht="12.75" x14ac:dyDescent="0.35">
      <c r="C892" s="3"/>
      <c r="D892" s="3"/>
      <c r="E892" s="3"/>
      <c r="F892" s="3"/>
    </row>
    <row r="893" spans="3:6" ht="12.75" x14ac:dyDescent="0.35">
      <c r="C893" s="3"/>
      <c r="D893" s="3"/>
      <c r="E893" s="3"/>
      <c r="F893" s="3"/>
    </row>
    <row r="894" spans="3:6" ht="12.75" x14ac:dyDescent="0.35">
      <c r="C894" s="3"/>
      <c r="D894" s="3"/>
      <c r="E894" s="3"/>
      <c r="F894" s="3"/>
    </row>
    <row r="895" spans="3:6" ht="12.75" x14ac:dyDescent="0.35">
      <c r="C895" s="3"/>
      <c r="D895" s="3"/>
      <c r="E895" s="3"/>
      <c r="F895" s="3"/>
    </row>
    <row r="896" spans="3:6" ht="12.75" x14ac:dyDescent="0.35">
      <c r="C896" s="3"/>
      <c r="D896" s="3"/>
      <c r="E896" s="3"/>
      <c r="F896" s="3"/>
    </row>
    <row r="897" spans="3:6" ht="12.75" x14ac:dyDescent="0.35">
      <c r="C897" s="3"/>
      <c r="D897" s="3"/>
      <c r="E897" s="3"/>
      <c r="F897" s="3"/>
    </row>
    <row r="898" spans="3:6" ht="12.75" x14ac:dyDescent="0.35">
      <c r="C898" s="3"/>
      <c r="D898" s="3"/>
      <c r="E898" s="3"/>
      <c r="F898" s="3"/>
    </row>
    <row r="899" spans="3:6" ht="12.75" x14ac:dyDescent="0.35">
      <c r="C899" s="3"/>
      <c r="D899" s="3"/>
      <c r="E899" s="3"/>
      <c r="F899" s="3"/>
    </row>
    <row r="900" spans="3:6" ht="12.75" x14ac:dyDescent="0.35">
      <c r="C900" s="3"/>
      <c r="D900" s="3"/>
      <c r="E900" s="3"/>
      <c r="F900" s="3"/>
    </row>
    <row r="901" spans="3:6" ht="12.75" x14ac:dyDescent="0.35">
      <c r="C901" s="3"/>
      <c r="D901" s="3"/>
      <c r="E901" s="3"/>
      <c r="F901" s="3"/>
    </row>
    <row r="902" spans="3:6" ht="12.75" x14ac:dyDescent="0.35">
      <c r="C902" s="3"/>
      <c r="D902" s="3"/>
      <c r="E902" s="3"/>
      <c r="F902" s="3"/>
    </row>
    <row r="903" spans="3:6" ht="12.75" x14ac:dyDescent="0.35">
      <c r="C903" s="3"/>
      <c r="D903" s="3"/>
      <c r="E903" s="3"/>
      <c r="F903" s="3"/>
    </row>
    <row r="904" spans="3:6" ht="12.75" x14ac:dyDescent="0.35">
      <c r="C904" s="3"/>
      <c r="D904" s="3"/>
      <c r="E904" s="3"/>
      <c r="F904" s="3"/>
    </row>
    <row r="905" spans="3:6" ht="12.75" x14ac:dyDescent="0.35">
      <c r="C905" s="3"/>
      <c r="D905" s="3"/>
      <c r="E905" s="3"/>
      <c r="F905" s="3"/>
    </row>
    <row r="906" spans="3:6" ht="12.75" x14ac:dyDescent="0.35">
      <c r="C906" s="3"/>
      <c r="D906" s="3"/>
      <c r="E906" s="3"/>
      <c r="F906" s="3"/>
    </row>
    <row r="907" spans="3:6" ht="12.75" x14ac:dyDescent="0.35">
      <c r="C907" s="3"/>
      <c r="D907" s="3"/>
      <c r="E907" s="3"/>
      <c r="F907" s="3"/>
    </row>
    <row r="908" spans="3:6" ht="12.75" x14ac:dyDescent="0.35">
      <c r="C908" s="3"/>
      <c r="D908" s="3"/>
      <c r="E908" s="3"/>
      <c r="F908" s="3"/>
    </row>
    <row r="909" spans="3:6" ht="12.75" x14ac:dyDescent="0.35">
      <c r="C909" s="3"/>
      <c r="D909" s="3"/>
      <c r="E909" s="3"/>
      <c r="F909" s="3"/>
    </row>
    <row r="910" spans="3:6" ht="12.75" x14ac:dyDescent="0.35">
      <c r="C910" s="3"/>
      <c r="D910" s="3"/>
      <c r="E910" s="3"/>
      <c r="F910" s="3"/>
    </row>
    <row r="911" spans="3:6" ht="12.75" x14ac:dyDescent="0.35">
      <c r="C911" s="3"/>
      <c r="D911" s="3"/>
      <c r="E911" s="3"/>
      <c r="F911" s="3"/>
    </row>
    <row r="912" spans="3:6" ht="12.75" x14ac:dyDescent="0.35">
      <c r="C912" s="3"/>
      <c r="D912" s="3"/>
      <c r="E912" s="3"/>
      <c r="F912" s="3"/>
    </row>
    <row r="913" spans="3:6" ht="12.75" x14ac:dyDescent="0.35">
      <c r="C913" s="3"/>
      <c r="D913" s="3"/>
      <c r="E913" s="3"/>
      <c r="F913" s="3"/>
    </row>
    <row r="914" spans="3:6" ht="12.75" x14ac:dyDescent="0.35">
      <c r="C914" s="3"/>
      <c r="D914" s="3"/>
      <c r="E914" s="3"/>
      <c r="F914" s="3"/>
    </row>
    <row r="915" spans="3:6" ht="12.75" x14ac:dyDescent="0.35">
      <c r="C915" s="3"/>
      <c r="D915" s="3"/>
      <c r="E915" s="3"/>
      <c r="F915" s="3"/>
    </row>
    <row r="916" spans="3:6" ht="12.75" x14ac:dyDescent="0.35">
      <c r="C916" s="3"/>
      <c r="D916" s="3"/>
      <c r="E916" s="3"/>
      <c r="F916" s="3"/>
    </row>
    <row r="917" spans="3:6" ht="12.75" x14ac:dyDescent="0.35">
      <c r="C917" s="3"/>
      <c r="D917" s="3"/>
      <c r="E917" s="3"/>
      <c r="F917" s="3"/>
    </row>
    <row r="918" spans="3:6" ht="12.75" x14ac:dyDescent="0.35">
      <c r="C918" s="3"/>
      <c r="D918" s="3"/>
      <c r="E918" s="3"/>
      <c r="F918" s="3"/>
    </row>
    <row r="919" spans="3:6" ht="12.75" x14ac:dyDescent="0.35">
      <c r="C919" s="3"/>
      <c r="D919" s="3"/>
      <c r="E919" s="3"/>
      <c r="F919" s="3"/>
    </row>
    <row r="920" spans="3:6" ht="12.75" x14ac:dyDescent="0.35">
      <c r="C920" s="3"/>
      <c r="D920" s="3"/>
      <c r="E920" s="3"/>
      <c r="F920" s="3"/>
    </row>
    <row r="921" spans="3:6" ht="12.75" x14ac:dyDescent="0.35">
      <c r="C921" s="3"/>
      <c r="D921" s="3"/>
      <c r="E921" s="3"/>
      <c r="F921" s="3"/>
    </row>
    <row r="922" spans="3:6" ht="12.75" x14ac:dyDescent="0.35">
      <c r="C922" s="3"/>
      <c r="D922" s="3"/>
      <c r="E922" s="3"/>
      <c r="F922" s="3"/>
    </row>
    <row r="923" spans="3:6" ht="12.75" x14ac:dyDescent="0.35">
      <c r="C923" s="3"/>
      <c r="D923" s="3"/>
      <c r="E923" s="3"/>
      <c r="F923" s="3"/>
    </row>
    <row r="924" spans="3:6" ht="12.75" x14ac:dyDescent="0.35">
      <c r="C924" s="3"/>
      <c r="D924" s="3"/>
      <c r="E924" s="3"/>
      <c r="F924" s="3"/>
    </row>
    <row r="925" spans="3:6" ht="12.75" x14ac:dyDescent="0.35">
      <c r="C925" s="3"/>
      <c r="D925" s="3"/>
      <c r="E925" s="3"/>
      <c r="F925" s="3"/>
    </row>
    <row r="926" spans="3:6" ht="12.75" x14ac:dyDescent="0.35">
      <c r="C926" s="3"/>
      <c r="D926" s="3"/>
      <c r="E926" s="3"/>
      <c r="F926" s="3"/>
    </row>
    <row r="927" spans="3:6" ht="12.75" x14ac:dyDescent="0.35">
      <c r="C927" s="3"/>
      <c r="D927" s="3"/>
      <c r="E927" s="3"/>
      <c r="F927" s="3"/>
    </row>
    <row r="928" spans="3:6" ht="12.75" x14ac:dyDescent="0.35">
      <c r="C928" s="3"/>
      <c r="D928" s="3"/>
      <c r="E928" s="3"/>
      <c r="F928" s="3"/>
    </row>
    <row r="929" spans="3:6" ht="12.75" x14ac:dyDescent="0.35">
      <c r="C929" s="3"/>
      <c r="D929" s="3"/>
      <c r="E929" s="3"/>
      <c r="F929" s="3"/>
    </row>
    <row r="930" spans="3:6" ht="12.75" x14ac:dyDescent="0.35">
      <c r="C930" s="3"/>
      <c r="D930" s="3"/>
      <c r="E930" s="3"/>
      <c r="F930" s="3"/>
    </row>
    <row r="931" spans="3:6" ht="12.75" x14ac:dyDescent="0.35">
      <c r="C931" s="3"/>
      <c r="D931" s="3"/>
      <c r="E931" s="3"/>
      <c r="F931" s="3"/>
    </row>
    <row r="932" spans="3:6" ht="12.75" x14ac:dyDescent="0.35">
      <c r="C932" s="3"/>
      <c r="D932" s="3"/>
      <c r="E932" s="3"/>
      <c r="F932" s="3"/>
    </row>
    <row r="933" spans="3:6" ht="12.75" x14ac:dyDescent="0.35">
      <c r="C933" s="3"/>
      <c r="D933" s="3"/>
      <c r="E933" s="3"/>
      <c r="F933" s="3"/>
    </row>
    <row r="934" spans="3:6" ht="12.75" x14ac:dyDescent="0.35">
      <c r="C934" s="3"/>
      <c r="D934" s="3"/>
      <c r="E934" s="3"/>
      <c r="F934" s="3"/>
    </row>
    <row r="935" spans="3:6" ht="12.75" x14ac:dyDescent="0.35">
      <c r="C935" s="3"/>
      <c r="D935" s="3"/>
      <c r="E935" s="3"/>
      <c r="F935" s="3"/>
    </row>
    <row r="936" spans="3:6" ht="12.75" x14ac:dyDescent="0.35">
      <c r="C936" s="3"/>
      <c r="D936" s="3"/>
      <c r="E936" s="3"/>
      <c r="F936" s="3"/>
    </row>
    <row r="937" spans="3:6" ht="12.75" x14ac:dyDescent="0.35">
      <c r="C937" s="3"/>
      <c r="D937" s="3"/>
      <c r="E937" s="3"/>
      <c r="F937" s="3"/>
    </row>
    <row r="938" spans="3:6" ht="12.75" x14ac:dyDescent="0.35">
      <c r="C938" s="3"/>
      <c r="D938" s="3"/>
      <c r="E938" s="3"/>
      <c r="F938" s="3"/>
    </row>
    <row r="939" spans="3:6" ht="12.75" x14ac:dyDescent="0.35">
      <c r="C939" s="3"/>
      <c r="D939" s="3"/>
      <c r="E939" s="3"/>
      <c r="F939" s="3"/>
    </row>
    <row r="940" spans="3:6" ht="12.75" x14ac:dyDescent="0.35">
      <c r="C940" s="3"/>
      <c r="D940" s="3"/>
      <c r="E940" s="3"/>
      <c r="F940" s="3"/>
    </row>
    <row r="941" spans="3:6" ht="12.75" x14ac:dyDescent="0.35">
      <c r="C941" s="3"/>
      <c r="D941" s="3"/>
      <c r="E941" s="3"/>
      <c r="F941" s="3"/>
    </row>
    <row r="942" spans="3:6" ht="12.75" x14ac:dyDescent="0.35">
      <c r="C942" s="3"/>
      <c r="D942" s="3"/>
      <c r="E942" s="3"/>
      <c r="F942" s="3"/>
    </row>
    <row r="943" spans="3:6" ht="12.75" x14ac:dyDescent="0.35">
      <c r="C943" s="3"/>
      <c r="D943" s="3"/>
      <c r="E943" s="3"/>
      <c r="F943" s="3"/>
    </row>
    <row r="944" spans="3:6" ht="12.75" x14ac:dyDescent="0.35">
      <c r="C944" s="3"/>
      <c r="D944" s="3"/>
      <c r="E944" s="3"/>
      <c r="F944" s="3"/>
    </row>
    <row r="945" spans="3:6" ht="12.75" x14ac:dyDescent="0.35">
      <c r="C945" s="3"/>
      <c r="D945" s="3"/>
      <c r="E945" s="3"/>
      <c r="F945" s="3"/>
    </row>
    <row r="946" spans="3:6" ht="12.75" x14ac:dyDescent="0.35">
      <c r="C946" s="3"/>
      <c r="D946" s="3"/>
      <c r="E946" s="3"/>
      <c r="F946" s="3"/>
    </row>
    <row r="947" spans="3:6" ht="12.75" x14ac:dyDescent="0.35">
      <c r="C947" s="3"/>
      <c r="D947" s="3"/>
      <c r="E947" s="3"/>
      <c r="F947" s="3"/>
    </row>
    <row r="948" spans="3:6" ht="12.75" x14ac:dyDescent="0.35">
      <c r="C948" s="3"/>
      <c r="D948" s="3"/>
      <c r="E948" s="3"/>
      <c r="F948" s="3"/>
    </row>
    <row r="949" spans="3:6" ht="12.75" x14ac:dyDescent="0.35">
      <c r="C949" s="3"/>
      <c r="D949" s="3"/>
      <c r="E949" s="3"/>
      <c r="F949" s="3"/>
    </row>
    <row r="950" spans="3:6" ht="12.75" x14ac:dyDescent="0.35">
      <c r="C950" s="3"/>
      <c r="D950" s="3"/>
      <c r="E950" s="3"/>
      <c r="F950" s="3"/>
    </row>
    <row r="951" spans="3:6" ht="12.75" x14ac:dyDescent="0.35">
      <c r="C951" s="3"/>
      <c r="D951" s="3"/>
      <c r="E951" s="3"/>
      <c r="F951" s="3"/>
    </row>
    <row r="952" spans="3:6" ht="12.75" x14ac:dyDescent="0.35">
      <c r="C952" s="3"/>
      <c r="D952" s="3"/>
      <c r="E952" s="3"/>
      <c r="F952" s="3"/>
    </row>
    <row r="953" spans="3:6" ht="12.75" x14ac:dyDescent="0.35">
      <c r="C953" s="3"/>
      <c r="D953" s="3"/>
      <c r="E953" s="3"/>
      <c r="F953" s="3"/>
    </row>
    <row r="954" spans="3:6" ht="12.75" x14ac:dyDescent="0.35">
      <c r="C954" s="3"/>
      <c r="D954" s="3"/>
      <c r="E954" s="3"/>
      <c r="F954" s="3"/>
    </row>
    <row r="955" spans="3:6" ht="12.75" x14ac:dyDescent="0.35">
      <c r="C955" s="3"/>
      <c r="D955" s="3"/>
      <c r="E955" s="3"/>
      <c r="F955" s="3"/>
    </row>
    <row r="956" spans="3:6" ht="12.75" x14ac:dyDescent="0.35">
      <c r="C956" s="3"/>
      <c r="D956" s="3"/>
      <c r="E956" s="3"/>
      <c r="F956" s="3"/>
    </row>
    <row r="957" spans="3:6" ht="12.75" x14ac:dyDescent="0.35">
      <c r="C957" s="3"/>
      <c r="D957" s="3"/>
      <c r="E957" s="3"/>
      <c r="F957" s="3"/>
    </row>
    <row r="958" spans="3:6" ht="12.75" x14ac:dyDescent="0.35">
      <c r="C958" s="3"/>
      <c r="D958" s="3"/>
      <c r="E958" s="3"/>
      <c r="F958" s="3"/>
    </row>
    <row r="959" spans="3:6" ht="12.75" x14ac:dyDescent="0.35">
      <c r="C959" s="3"/>
      <c r="D959" s="3"/>
      <c r="E959" s="3"/>
      <c r="F959" s="3"/>
    </row>
    <row r="960" spans="3:6" ht="12.75" x14ac:dyDescent="0.35">
      <c r="C960" s="3"/>
      <c r="D960" s="3"/>
      <c r="E960" s="3"/>
      <c r="F960" s="3"/>
    </row>
    <row r="961" spans="3:6" ht="12.75" x14ac:dyDescent="0.35">
      <c r="C961" s="3"/>
      <c r="D961" s="3"/>
      <c r="E961" s="3"/>
      <c r="F961" s="3"/>
    </row>
    <row r="962" spans="3:6" ht="12.75" x14ac:dyDescent="0.35">
      <c r="C962" s="3"/>
      <c r="D962" s="3"/>
      <c r="E962" s="3"/>
      <c r="F962" s="3"/>
    </row>
    <row r="963" spans="3:6" ht="12.75" x14ac:dyDescent="0.35">
      <c r="C963" s="3"/>
      <c r="D963" s="3"/>
      <c r="E963" s="3"/>
      <c r="F963" s="3"/>
    </row>
    <row r="964" spans="3:6" ht="12.75" x14ac:dyDescent="0.35">
      <c r="C964" s="3"/>
      <c r="D964" s="3"/>
      <c r="E964" s="3"/>
      <c r="F964" s="3"/>
    </row>
    <row r="965" spans="3:6" ht="12.75" x14ac:dyDescent="0.35">
      <c r="C965" s="3"/>
      <c r="D965" s="3"/>
      <c r="E965" s="3"/>
      <c r="F965" s="3"/>
    </row>
    <row r="966" spans="3:6" ht="12.75" x14ac:dyDescent="0.35">
      <c r="C966" s="3"/>
      <c r="D966" s="3"/>
      <c r="E966" s="3"/>
      <c r="F96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9959-6142-4C7A-BBC7-8FAECDF2DE70}">
  <sheetPr>
    <outlinePr summaryBelow="0" summaryRight="0"/>
  </sheetPr>
  <dimension ref="A1:W966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12.59765625" defaultRowHeight="15.75" customHeight="1" x14ac:dyDescent="0.35"/>
  <sheetData>
    <row r="1" spans="1:23" ht="15.75" customHeight="1" x14ac:dyDescent="0.4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6</v>
      </c>
      <c r="H1" s="1" t="s">
        <v>44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x14ac:dyDescent="0.35">
      <c r="A2" s="2">
        <v>2024</v>
      </c>
      <c r="B2" s="3" t="s">
        <v>9</v>
      </c>
      <c r="C2" s="3">
        <v>510199</v>
      </c>
      <c r="D2" s="3">
        <v>8668544</v>
      </c>
      <c r="E2" s="3">
        <v>1654424</v>
      </c>
      <c r="F2" s="2">
        <v>13532865</v>
      </c>
      <c r="G2" s="3">
        <v>1</v>
      </c>
      <c r="H2" s="5">
        <f>F2-D2</f>
        <v>4864321</v>
      </c>
    </row>
    <row r="3" spans="1:23" ht="12.75" x14ac:dyDescent="0.35">
      <c r="A3" s="2">
        <v>2023</v>
      </c>
      <c r="B3" s="3" t="s">
        <v>9</v>
      </c>
      <c r="C3" s="3">
        <v>907811</v>
      </c>
      <c r="D3" s="3">
        <v>8905477</v>
      </c>
      <c r="E3" s="3">
        <v>1458405</v>
      </c>
      <c r="F3" s="2">
        <v>13371676</v>
      </c>
      <c r="G3" s="3">
        <v>1</v>
      </c>
      <c r="H3" s="5">
        <f t="shared" ref="H3:H66" si="0">F3-D3</f>
        <v>4466199</v>
      </c>
    </row>
    <row r="4" spans="1:23" ht="12.75" x14ac:dyDescent="0.35">
      <c r="A4" s="2">
        <v>2022</v>
      </c>
      <c r="B4" s="3" t="s">
        <v>9</v>
      </c>
      <c r="C4" s="3">
        <v>882285</v>
      </c>
      <c r="D4" s="3">
        <v>9089261</v>
      </c>
      <c r="E4" s="3">
        <v>1368453</v>
      </c>
      <c r="F4" s="2">
        <v>15787492</v>
      </c>
      <c r="G4" s="3">
        <v>1</v>
      </c>
      <c r="H4" s="5">
        <f t="shared" si="0"/>
        <v>6698231</v>
      </c>
    </row>
    <row r="5" spans="1:23" ht="12.75" x14ac:dyDescent="0.35">
      <c r="A5" s="2">
        <v>2021</v>
      </c>
      <c r="B5" s="3" t="s">
        <v>9</v>
      </c>
      <c r="C5" s="3">
        <v>738216</v>
      </c>
      <c r="D5" s="3">
        <v>8100660</v>
      </c>
      <c r="E5" s="3">
        <v>1194490</v>
      </c>
      <c r="F5" s="2">
        <v>12480575</v>
      </c>
      <c r="G5" s="3">
        <v>1</v>
      </c>
      <c r="H5" s="5">
        <f t="shared" si="0"/>
        <v>4379915</v>
      </c>
    </row>
    <row r="6" spans="1:23" ht="12.75" x14ac:dyDescent="0.35">
      <c r="A6" s="2">
        <v>2020</v>
      </c>
      <c r="B6" s="3" t="s">
        <v>9</v>
      </c>
      <c r="C6" s="3">
        <v>656957</v>
      </c>
      <c r="D6" s="3">
        <v>6936330</v>
      </c>
      <c r="E6" s="3">
        <v>1098065</v>
      </c>
      <c r="F6" s="2">
        <v>10718032</v>
      </c>
      <c r="G6" s="3">
        <v>1</v>
      </c>
      <c r="H6" s="5">
        <f t="shared" si="0"/>
        <v>3781702</v>
      </c>
    </row>
    <row r="7" spans="1:23" ht="12.75" x14ac:dyDescent="0.35">
      <c r="A7" s="2">
        <v>2019</v>
      </c>
      <c r="B7" s="3" t="s">
        <v>9</v>
      </c>
      <c r="C7" s="3">
        <v>654820</v>
      </c>
      <c r="D7" s="3">
        <v>7035812</v>
      </c>
      <c r="E7" s="3">
        <v>968287</v>
      </c>
      <c r="F7" s="2">
        <v>9600132</v>
      </c>
      <c r="G7" s="3">
        <v>1</v>
      </c>
      <c r="H7" s="5">
        <f t="shared" si="0"/>
        <v>2564320</v>
      </c>
    </row>
    <row r="8" spans="1:23" ht="12.75" x14ac:dyDescent="0.35">
      <c r="A8" s="2">
        <v>2018</v>
      </c>
      <c r="B8" s="3" t="s">
        <v>9</v>
      </c>
      <c r="C8" s="3">
        <v>587281</v>
      </c>
      <c r="D8" s="3">
        <v>7510763</v>
      </c>
      <c r="E8" s="3">
        <v>925209</v>
      </c>
      <c r="F8" s="2">
        <v>11059641</v>
      </c>
      <c r="G8" s="3">
        <v>1</v>
      </c>
      <c r="H8" s="5">
        <f t="shared" si="0"/>
        <v>3548878</v>
      </c>
    </row>
    <row r="9" spans="1:23" ht="12.75" x14ac:dyDescent="0.35">
      <c r="A9" s="2">
        <v>2017</v>
      </c>
      <c r="B9" s="3" t="s">
        <v>9</v>
      </c>
      <c r="C9" s="3">
        <v>433002</v>
      </c>
      <c r="D9" s="3">
        <v>6768251</v>
      </c>
      <c r="E9" s="3">
        <v>736886</v>
      </c>
      <c r="F9" s="2">
        <v>9970848</v>
      </c>
      <c r="G9" s="3">
        <v>1</v>
      </c>
      <c r="H9" s="5">
        <f t="shared" si="0"/>
        <v>3202597</v>
      </c>
    </row>
    <row r="10" spans="1:23" ht="12.75" x14ac:dyDescent="0.35">
      <c r="A10" s="2">
        <v>2016</v>
      </c>
      <c r="B10" s="3" t="s">
        <v>9</v>
      </c>
      <c r="C10" s="3">
        <v>432335</v>
      </c>
      <c r="D10" s="3">
        <v>6169639</v>
      </c>
      <c r="E10" s="3">
        <v>402665</v>
      </c>
      <c r="F10" s="2">
        <v>8415717</v>
      </c>
      <c r="G10" s="3">
        <v>0</v>
      </c>
      <c r="H10" s="5">
        <f t="shared" si="0"/>
        <v>2246078</v>
      </c>
    </row>
    <row r="11" spans="1:23" ht="12.75" x14ac:dyDescent="0.35">
      <c r="A11" s="2">
        <v>2015</v>
      </c>
      <c r="B11" s="3" t="s">
        <v>9</v>
      </c>
      <c r="C11" s="3">
        <v>416937</v>
      </c>
      <c r="D11" s="3">
        <v>6359014</v>
      </c>
      <c r="E11" s="3">
        <v>546899</v>
      </c>
      <c r="F11" s="2">
        <v>8568734</v>
      </c>
      <c r="G11" s="3">
        <v>0</v>
      </c>
      <c r="H11" s="5">
        <f t="shared" si="0"/>
        <v>2209720</v>
      </c>
    </row>
    <row r="12" spans="1:23" ht="12.75" x14ac:dyDescent="0.35">
      <c r="A12" s="2">
        <v>2024</v>
      </c>
      <c r="B12" s="3" t="s">
        <v>10</v>
      </c>
      <c r="C12" s="3">
        <v>592420</v>
      </c>
      <c r="D12" s="3">
        <v>4490185</v>
      </c>
      <c r="E12" s="3">
        <v>731189</v>
      </c>
      <c r="F12" s="2">
        <v>7548265</v>
      </c>
      <c r="G12" s="3">
        <v>1</v>
      </c>
      <c r="H12" s="5">
        <f t="shared" si="0"/>
        <v>3058080</v>
      </c>
    </row>
    <row r="13" spans="1:23" ht="12.75" x14ac:dyDescent="0.35">
      <c r="A13" s="2">
        <v>2023</v>
      </c>
      <c r="B13" s="3" t="s">
        <v>10</v>
      </c>
      <c r="C13" s="3">
        <v>542100</v>
      </c>
      <c r="D13" s="3">
        <v>4404499</v>
      </c>
      <c r="E13" s="3">
        <v>673802</v>
      </c>
      <c r="F13" s="2">
        <v>6142060</v>
      </c>
      <c r="G13" s="3">
        <v>1</v>
      </c>
      <c r="H13" s="5">
        <f t="shared" si="0"/>
        <v>1737561</v>
      </c>
    </row>
    <row r="14" spans="1:23" ht="12.75" x14ac:dyDescent="0.35">
      <c r="A14" s="2">
        <v>2022</v>
      </c>
      <c r="B14" s="3" t="s">
        <v>10</v>
      </c>
      <c r="C14" s="3">
        <v>523373</v>
      </c>
      <c r="D14" s="3">
        <v>4195198</v>
      </c>
      <c r="E14" s="3">
        <v>661598</v>
      </c>
      <c r="F14" s="2">
        <v>7239424</v>
      </c>
      <c r="G14" s="3">
        <v>1</v>
      </c>
      <c r="H14" s="5">
        <f t="shared" si="0"/>
        <v>3044226</v>
      </c>
    </row>
    <row r="15" spans="1:23" ht="12.75" x14ac:dyDescent="0.35">
      <c r="A15" s="2">
        <v>2021</v>
      </c>
      <c r="B15" s="3" t="s">
        <v>10</v>
      </c>
      <c r="C15" s="3">
        <v>470623</v>
      </c>
      <c r="D15" s="3">
        <v>4763320</v>
      </c>
      <c r="E15" s="3">
        <v>616445</v>
      </c>
      <c r="F15" s="2">
        <v>6941342</v>
      </c>
      <c r="G15" s="3">
        <v>1</v>
      </c>
      <c r="H15" s="5">
        <f t="shared" si="0"/>
        <v>2178022</v>
      </c>
    </row>
    <row r="16" spans="1:23" ht="12.75" x14ac:dyDescent="0.35">
      <c r="A16" s="2">
        <v>2020</v>
      </c>
      <c r="B16" s="3" t="s">
        <v>10</v>
      </c>
      <c r="C16" s="3">
        <v>366013</v>
      </c>
      <c r="D16" s="3">
        <v>3798912</v>
      </c>
      <c r="E16" s="3">
        <v>484845</v>
      </c>
      <c r="F16" s="2">
        <v>6261284</v>
      </c>
      <c r="G16" s="3">
        <v>1</v>
      </c>
      <c r="H16" s="5">
        <f t="shared" si="0"/>
        <v>2462372</v>
      </c>
    </row>
    <row r="17" spans="1:8" ht="12.75" x14ac:dyDescent="0.35">
      <c r="A17" s="2">
        <v>2019</v>
      </c>
      <c r="B17" s="3" t="s">
        <v>10</v>
      </c>
      <c r="C17" s="3">
        <v>472169</v>
      </c>
      <c r="D17" s="3">
        <v>3984731</v>
      </c>
      <c r="E17" s="3">
        <v>341584</v>
      </c>
      <c r="F17" s="2">
        <v>5581682</v>
      </c>
      <c r="G17" s="3">
        <v>1</v>
      </c>
      <c r="H17" s="5">
        <f t="shared" si="0"/>
        <v>1596951</v>
      </c>
    </row>
    <row r="18" spans="1:8" ht="12.75" x14ac:dyDescent="0.35">
      <c r="A18" s="2">
        <v>2018</v>
      </c>
      <c r="B18" s="3" t="s">
        <v>10</v>
      </c>
      <c r="C18" s="3">
        <v>334344</v>
      </c>
      <c r="D18" s="3">
        <v>3195646</v>
      </c>
      <c r="E18" s="3">
        <v>1115058</v>
      </c>
      <c r="F18" s="2">
        <v>5507951</v>
      </c>
      <c r="G18" s="3">
        <v>1</v>
      </c>
      <c r="H18" s="5">
        <f t="shared" si="0"/>
        <v>2312305</v>
      </c>
    </row>
    <row r="19" spans="1:8" ht="12.75" x14ac:dyDescent="0.35">
      <c r="A19" s="2">
        <v>2017</v>
      </c>
      <c r="B19" s="3" t="s">
        <v>10</v>
      </c>
      <c r="C19" s="3">
        <v>307329</v>
      </c>
      <c r="D19" s="3">
        <v>3846293</v>
      </c>
      <c r="E19" s="3">
        <v>470805</v>
      </c>
      <c r="F19" s="2">
        <v>5406176</v>
      </c>
      <c r="G19" s="3">
        <v>1</v>
      </c>
      <c r="H19" s="5">
        <f t="shared" si="0"/>
        <v>1559883</v>
      </c>
    </row>
    <row r="20" spans="1:8" ht="12.75" x14ac:dyDescent="0.35">
      <c r="A20" s="2">
        <v>2016</v>
      </c>
      <c r="B20" s="3" t="s">
        <v>10</v>
      </c>
      <c r="C20" s="3">
        <v>247701</v>
      </c>
      <c r="D20" s="3">
        <v>3319525</v>
      </c>
      <c r="E20" s="3">
        <v>469258</v>
      </c>
      <c r="F20" s="2">
        <v>5003823</v>
      </c>
      <c r="G20" s="3">
        <v>0</v>
      </c>
      <c r="H20" s="5">
        <f t="shared" si="0"/>
        <v>1684298</v>
      </c>
    </row>
    <row r="21" spans="1:8" ht="12.75" x14ac:dyDescent="0.35">
      <c r="A21" s="2">
        <v>2015</v>
      </c>
      <c r="B21" s="3" t="s">
        <v>10</v>
      </c>
      <c r="C21" s="3">
        <v>284749</v>
      </c>
      <c r="D21" s="3">
        <v>3303165</v>
      </c>
      <c r="E21" s="3">
        <v>512091</v>
      </c>
      <c r="F21" s="2">
        <v>4504275</v>
      </c>
      <c r="G21" s="3">
        <v>0</v>
      </c>
      <c r="H21" s="5">
        <f t="shared" si="0"/>
        <v>1201110</v>
      </c>
    </row>
    <row r="22" spans="1:8" ht="12.75" x14ac:dyDescent="0.35">
      <c r="A22" s="2">
        <v>2024</v>
      </c>
      <c r="B22" s="3" t="s">
        <v>11</v>
      </c>
      <c r="C22" s="3">
        <v>2423221</v>
      </c>
      <c r="D22" s="3">
        <v>13240289</v>
      </c>
      <c r="E22" s="3">
        <v>2218008</v>
      </c>
      <c r="F22" s="2">
        <v>24956776</v>
      </c>
      <c r="G22" s="3">
        <v>1</v>
      </c>
      <c r="H22" s="5">
        <f t="shared" si="0"/>
        <v>11716487</v>
      </c>
    </row>
    <row r="23" spans="1:8" ht="12.75" x14ac:dyDescent="0.35">
      <c r="A23" s="2">
        <v>2023</v>
      </c>
      <c r="B23" s="3" t="s">
        <v>11</v>
      </c>
      <c r="C23" s="3">
        <v>2375655</v>
      </c>
      <c r="D23" s="3">
        <v>12704260</v>
      </c>
      <c r="E23" s="3">
        <v>2196304</v>
      </c>
      <c r="F23" s="2">
        <v>23210384</v>
      </c>
      <c r="G23" s="3">
        <v>1</v>
      </c>
      <c r="H23" s="5">
        <f t="shared" si="0"/>
        <v>10506124</v>
      </c>
    </row>
    <row r="24" spans="1:8" ht="12.75" x14ac:dyDescent="0.35">
      <c r="A24" s="2">
        <v>2022</v>
      </c>
      <c r="B24" s="3" t="s">
        <v>11</v>
      </c>
      <c r="C24" s="3">
        <v>2286359</v>
      </c>
      <c r="D24" s="3">
        <v>13716158</v>
      </c>
      <c r="E24" s="3">
        <v>1728968</v>
      </c>
      <c r="F24" s="2">
        <v>36940770</v>
      </c>
      <c r="G24" s="3">
        <v>1</v>
      </c>
      <c r="H24" s="5">
        <f t="shared" si="0"/>
        <v>23224612</v>
      </c>
    </row>
    <row r="25" spans="1:8" ht="12.75" x14ac:dyDescent="0.35">
      <c r="A25" s="2">
        <v>2021</v>
      </c>
      <c r="B25" s="3" t="s">
        <v>11</v>
      </c>
      <c r="C25" s="3">
        <v>1781312</v>
      </c>
      <c r="D25" s="3">
        <v>12184299</v>
      </c>
      <c r="E25" s="3">
        <v>1710739</v>
      </c>
      <c r="F25" s="2">
        <v>25326684</v>
      </c>
      <c r="G25" s="3">
        <v>1</v>
      </c>
      <c r="H25" s="5">
        <f t="shared" si="0"/>
        <v>13142385</v>
      </c>
    </row>
    <row r="26" spans="1:8" ht="12.75" x14ac:dyDescent="0.35">
      <c r="A26" s="2">
        <v>2020</v>
      </c>
      <c r="B26" s="3" t="s">
        <v>11</v>
      </c>
      <c r="C26" s="3">
        <v>2115007</v>
      </c>
      <c r="D26" s="3">
        <v>10263170</v>
      </c>
      <c r="E26" s="3">
        <v>1410848</v>
      </c>
      <c r="F26" s="2">
        <v>18846450</v>
      </c>
      <c r="G26" s="3">
        <v>1</v>
      </c>
      <c r="H26" s="5">
        <f t="shared" si="0"/>
        <v>8583280</v>
      </c>
    </row>
    <row r="27" spans="1:8" ht="12.75" x14ac:dyDescent="0.35">
      <c r="A27" s="2">
        <v>2019</v>
      </c>
      <c r="B27" s="3" t="s">
        <v>11</v>
      </c>
      <c r="C27" s="3">
        <v>1756265</v>
      </c>
      <c r="D27" s="3">
        <v>9634712</v>
      </c>
      <c r="E27" s="3">
        <v>1464775</v>
      </c>
      <c r="F27" s="2">
        <v>17043632</v>
      </c>
      <c r="G27" s="3">
        <v>1</v>
      </c>
      <c r="H27" s="5">
        <f t="shared" si="0"/>
        <v>7408920</v>
      </c>
    </row>
    <row r="28" spans="1:8" ht="12.75" x14ac:dyDescent="0.35">
      <c r="A28" s="2">
        <v>2018</v>
      </c>
      <c r="B28" s="3" t="s">
        <v>11</v>
      </c>
      <c r="C28" s="3">
        <v>2023298</v>
      </c>
      <c r="D28" s="3">
        <v>9798500</v>
      </c>
      <c r="E28" s="3">
        <v>1513337</v>
      </c>
      <c r="F28" s="2">
        <v>18966191</v>
      </c>
      <c r="G28" s="3">
        <v>1</v>
      </c>
      <c r="H28" s="5">
        <f t="shared" si="0"/>
        <v>9167691</v>
      </c>
    </row>
    <row r="29" spans="1:8" ht="12.75" x14ac:dyDescent="0.35">
      <c r="A29" s="2">
        <v>2017</v>
      </c>
      <c r="B29" s="3" t="s">
        <v>11</v>
      </c>
      <c r="C29" s="3">
        <v>461634</v>
      </c>
      <c r="D29" s="3">
        <v>8456648</v>
      </c>
      <c r="E29" s="3">
        <v>1203282</v>
      </c>
      <c r="F29" s="2">
        <v>15098071</v>
      </c>
      <c r="G29" s="3">
        <v>1</v>
      </c>
      <c r="H29" s="5">
        <f t="shared" si="0"/>
        <v>6641423</v>
      </c>
    </row>
    <row r="30" spans="1:8" ht="12.75" x14ac:dyDescent="0.35">
      <c r="A30" s="2">
        <v>2016</v>
      </c>
      <c r="B30" s="3" t="s">
        <v>11</v>
      </c>
      <c r="C30" s="3">
        <v>1215412</v>
      </c>
      <c r="D30" s="3">
        <v>8461185</v>
      </c>
      <c r="E30" s="3">
        <v>1367351</v>
      </c>
      <c r="F30" s="2">
        <v>16230448</v>
      </c>
      <c r="G30" s="3">
        <v>0</v>
      </c>
      <c r="H30" s="5">
        <f t="shared" si="0"/>
        <v>7769263</v>
      </c>
    </row>
    <row r="31" spans="1:8" ht="12.75" x14ac:dyDescent="0.35">
      <c r="A31" s="2">
        <v>2015</v>
      </c>
      <c r="B31" s="3" t="s">
        <v>11</v>
      </c>
      <c r="C31" s="3">
        <v>1032185</v>
      </c>
      <c r="D31" s="3">
        <v>9998241</v>
      </c>
      <c r="E31" s="3">
        <v>951011</v>
      </c>
      <c r="F31" s="2">
        <v>16543129</v>
      </c>
      <c r="G31" s="3">
        <v>0</v>
      </c>
      <c r="H31" s="5">
        <f t="shared" si="0"/>
        <v>6544888</v>
      </c>
    </row>
    <row r="32" spans="1:8" ht="12.75" x14ac:dyDescent="0.35">
      <c r="A32" s="2">
        <v>2024</v>
      </c>
      <c r="B32" s="3" t="s">
        <v>12</v>
      </c>
      <c r="C32" s="3">
        <v>292958</v>
      </c>
      <c r="D32" s="3">
        <v>3566947</v>
      </c>
      <c r="E32" s="3">
        <v>625909</v>
      </c>
      <c r="F32" s="2">
        <v>5951764</v>
      </c>
      <c r="G32" s="3">
        <v>1</v>
      </c>
      <c r="H32" s="5">
        <f t="shared" si="0"/>
        <v>2384817</v>
      </c>
    </row>
    <row r="33" spans="1:8" ht="12.75" x14ac:dyDescent="0.35">
      <c r="A33" s="2">
        <v>2023</v>
      </c>
      <c r="B33" s="3" t="s">
        <v>12</v>
      </c>
      <c r="C33" s="3">
        <v>259006</v>
      </c>
      <c r="D33" s="3">
        <v>2871465</v>
      </c>
      <c r="E33" s="3">
        <v>482651</v>
      </c>
      <c r="F33" s="2">
        <v>3782188</v>
      </c>
      <c r="G33" s="3">
        <v>1</v>
      </c>
      <c r="H33" s="5">
        <f t="shared" si="0"/>
        <v>910723</v>
      </c>
    </row>
    <row r="34" spans="1:8" ht="12.75" x14ac:dyDescent="0.35">
      <c r="A34" s="2">
        <v>2022</v>
      </c>
      <c r="B34" s="3" t="s">
        <v>12</v>
      </c>
      <c r="C34" s="3">
        <v>225841</v>
      </c>
      <c r="D34" s="3">
        <v>2813388</v>
      </c>
      <c r="E34" s="3">
        <v>464069</v>
      </c>
      <c r="F34" s="2">
        <v>4336081</v>
      </c>
      <c r="G34" s="3">
        <v>1</v>
      </c>
      <c r="H34" s="5">
        <f t="shared" si="0"/>
        <v>1522693</v>
      </c>
    </row>
    <row r="35" spans="1:8" ht="12.75" x14ac:dyDescent="0.35">
      <c r="A35" s="2">
        <v>2021</v>
      </c>
      <c r="B35" s="3" t="s">
        <v>12</v>
      </c>
      <c r="C35" s="3">
        <v>185688</v>
      </c>
      <c r="D35" s="3">
        <v>1551494</v>
      </c>
      <c r="E35" s="3">
        <v>455615</v>
      </c>
      <c r="F35" s="2">
        <v>3439760</v>
      </c>
      <c r="G35" s="3">
        <v>1</v>
      </c>
      <c r="H35" s="5">
        <f t="shared" si="0"/>
        <v>1888266</v>
      </c>
    </row>
    <row r="36" spans="1:8" ht="12.75" x14ac:dyDescent="0.35">
      <c r="A36" s="2">
        <v>2020</v>
      </c>
      <c r="B36" s="3" t="s">
        <v>12</v>
      </c>
      <c r="C36" s="3">
        <v>190974</v>
      </c>
      <c r="D36" s="3">
        <v>1360272</v>
      </c>
      <c r="E36" s="3">
        <v>599837</v>
      </c>
      <c r="F36" s="2">
        <v>2607137</v>
      </c>
      <c r="G36" s="3">
        <v>1</v>
      </c>
      <c r="H36" s="5">
        <f t="shared" si="0"/>
        <v>1246865</v>
      </c>
    </row>
    <row r="37" spans="1:8" ht="12.75" x14ac:dyDescent="0.35">
      <c r="A37" s="2">
        <v>2019</v>
      </c>
      <c r="B37" s="3" t="s">
        <v>12</v>
      </c>
      <c r="C37" s="3">
        <v>222770</v>
      </c>
      <c r="D37" s="3">
        <v>1347797</v>
      </c>
      <c r="E37" s="3">
        <v>609289</v>
      </c>
      <c r="F37" s="2">
        <v>2321930</v>
      </c>
      <c r="G37" s="3">
        <v>1</v>
      </c>
      <c r="H37" s="5">
        <f t="shared" si="0"/>
        <v>974133</v>
      </c>
    </row>
    <row r="38" spans="1:8" ht="12.75" x14ac:dyDescent="0.35">
      <c r="A38" s="2">
        <v>2018</v>
      </c>
      <c r="B38" s="3" t="s">
        <v>12</v>
      </c>
      <c r="C38" s="3">
        <v>245836</v>
      </c>
      <c r="D38" s="3">
        <v>1393743</v>
      </c>
      <c r="E38" s="3">
        <v>296430</v>
      </c>
      <c r="F38" s="2">
        <v>2769948</v>
      </c>
      <c r="G38" s="3">
        <v>1</v>
      </c>
      <c r="H38" s="5">
        <f t="shared" si="0"/>
        <v>1376205</v>
      </c>
    </row>
    <row r="39" spans="1:8" ht="12.75" x14ac:dyDescent="0.35">
      <c r="A39" s="2">
        <v>2017</v>
      </c>
      <c r="B39" s="3" t="s">
        <v>12</v>
      </c>
      <c r="C39" s="3">
        <v>221997</v>
      </c>
      <c r="D39" s="3">
        <v>1198213</v>
      </c>
      <c r="E39" s="3">
        <v>292128</v>
      </c>
      <c r="F39" s="2">
        <v>3061488</v>
      </c>
      <c r="G39" s="3">
        <v>1</v>
      </c>
      <c r="H39" s="5">
        <f t="shared" si="0"/>
        <v>1863275</v>
      </c>
    </row>
    <row r="40" spans="1:8" ht="12.75" x14ac:dyDescent="0.35">
      <c r="A40" s="2">
        <v>2016</v>
      </c>
      <c r="B40" s="3" t="s">
        <v>12</v>
      </c>
      <c r="C40" s="3">
        <v>218186</v>
      </c>
      <c r="D40" s="3">
        <v>1537466</v>
      </c>
      <c r="E40" s="3">
        <v>272835</v>
      </c>
      <c r="F40" s="2">
        <v>2828841</v>
      </c>
      <c r="G40" s="3">
        <v>0</v>
      </c>
      <c r="H40" s="5">
        <f t="shared" si="0"/>
        <v>1291375</v>
      </c>
    </row>
    <row r="41" spans="1:8" ht="12.75" x14ac:dyDescent="0.35">
      <c r="A41" s="2">
        <v>2024</v>
      </c>
      <c r="B41" s="3" t="s">
        <v>13</v>
      </c>
      <c r="C41" s="3">
        <v>1107618</v>
      </c>
      <c r="D41" s="3">
        <v>20772129</v>
      </c>
      <c r="E41" s="3">
        <v>2429803</v>
      </c>
      <c r="F41" s="2">
        <v>29192211</v>
      </c>
      <c r="G41" s="3">
        <v>1</v>
      </c>
      <c r="H41" s="5">
        <f t="shared" si="0"/>
        <v>8420082</v>
      </c>
    </row>
    <row r="42" spans="1:8" ht="12.75" x14ac:dyDescent="0.35">
      <c r="A42" s="2">
        <v>2023</v>
      </c>
      <c r="B42" s="3" t="s">
        <v>13</v>
      </c>
      <c r="C42" s="3">
        <v>1063203</v>
      </c>
      <c r="D42" s="3">
        <v>21709424</v>
      </c>
      <c r="E42" s="3">
        <v>2443808</v>
      </c>
      <c r="F42" s="2">
        <v>31739815</v>
      </c>
      <c r="G42" s="3">
        <v>1</v>
      </c>
      <c r="H42" s="5">
        <f t="shared" si="0"/>
        <v>10030391</v>
      </c>
    </row>
    <row r="43" spans="1:8" ht="12.75" x14ac:dyDescent="0.35">
      <c r="A43" s="2">
        <v>2022</v>
      </c>
      <c r="B43" s="3" t="s">
        <v>13</v>
      </c>
      <c r="C43" s="3">
        <v>1136827</v>
      </c>
      <c r="D43" s="3">
        <v>30198834</v>
      </c>
      <c r="E43" s="3">
        <v>2312591</v>
      </c>
      <c r="F43" s="2">
        <v>39412846</v>
      </c>
      <c r="G43" s="3">
        <v>1</v>
      </c>
      <c r="H43" s="5">
        <f t="shared" si="0"/>
        <v>9214012</v>
      </c>
    </row>
    <row r="44" spans="1:8" ht="12.75" x14ac:dyDescent="0.35">
      <c r="A44" s="2">
        <v>2021</v>
      </c>
      <c r="B44" s="3" t="s">
        <v>13</v>
      </c>
      <c r="C44" s="3">
        <v>1050693</v>
      </c>
      <c r="D44" s="3">
        <v>21461783</v>
      </c>
      <c r="E44" s="3">
        <v>1955503</v>
      </c>
      <c r="F44" s="2">
        <v>28903053</v>
      </c>
      <c r="G44" s="3">
        <v>1</v>
      </c>
      <c r="H44" s="5">
        <f t="shared" si="0"/>
        <v>7441270</v>
      </c>
    </row>
    <row r="45" spans="1:8" ht="12.75" x14ac:dyDescent="0.35">
      <c r="A45" s="2">
        <v>2020</v>
      </c>
      <c r="B45" s="3" t="s">
        <v>13</v>
      </c>
      <c r="C45" s="3">
        <v>1000068</v>
      </c>
      <c r="D45" s="3">
        <v>17792303</v>
      </c>
      <c r="E45" s="3">
        <v>1911810</v>
      </c>
      <c r="F45" s="2">
        <v>26571112</v>
      </c>
      <c r="G45" s="3">
        <v>1</v>
      </c>
      <c r="H45" s="5">
        <f t="shared" si="0"/>
        <v>8778809</v>
      </c>
    </row>
    <row r="46" spans="1:8" ht="12.75" x14ac:dyDescent="0.35">
      <c r="A46" s="2">
        <v>2019</v>
      </c>
      <c r="B46" s="3" t="s">
        <v>13</v>
      </c>
      <c r="C46" s="3">
        <v>1223772</v>
      </c>
      <c r="D46" s="3">
        <v>21095380</v>
      </c>
      <c r="E46" s="3">
        <v>1535482</v>
      </c>
      <c r="F46" s="2">
        <v>28932149</v>
      </c>
      <c r="G46" s="3">
        <v>1</v>
      </c>
      <c r="H46" s="5">
        <f t="shared" si="0"/>
        <v>7836769</v>
      </c>
    </row>
    <row r="47" spans="1:8" ht="12.75" x14ac:dyDescent="0.35">
      <c r="A47" s="2">
        <v>2018</v>
      </c>
      <c r="B47" s="3" t="s">
        <v>13</v>
      </c>
      <c r="C47" s="3">
        <v>1105242</v>
      </c>
      <c r="D47" s="3">
        <v>21008359</v>
      </c>
      <c r="E47" s="3">
        <v>1334132</v>
      </c>
      <c r="F47" s="2">
        <v>27667823</v>
      </c>
      <c r="G47" s="3">
        <v>1</v>
      </c>
      <c r="H47" s="5">
        <f t="shared" si="0"/>
        <v>6659464</v>
      </c>
    </row>
    <row r="48" spans="1:8" ht="12.75" x14ac:dyDescent="0.35">
      <c r="A48" s="2">
        <v>2017</v>
      </c>
      <c r="B48" s="3" t="s">
        <v>13</v>
      </c>
      <c r="C48" s="3">
        <v>1101070</v>
      </c>
      <c r="D48" s="3">
        <v>16409477</v>
      </c>
      <c r="E48" s="3">
        <v>1682524</v>
      </c>
      <c r="F48" s="2">
        <v>22641051</v>
      </c>
      <c r="G48" s="3">
        <v>1</v>
      </c>
      <c r="H48" s="5">
        <f t="shared" si="0"/>
        <v>6231574</v>
      </c>
    </row>
    <row r="49" spans="1:8" ht="12.75" x14ac:dyDescent="0.35">
      <c r="A49" s="2">
        <v>2016</v>
      </c>
      <c r="B49" s="3" t="s">
        <v>13</v>
      </c>
      <c r="C49" s="3">
        <v>930924</v>
      </c>
      <c r="D49" s="3">
        <v>15765939</v>
      </c>
      <c r="E49" s="3">
        <v>1460143</v>
      </c>
      <c r="F49" s="2">
        <v>25707464</v>
      </c>
      <c r="G49" s="3">
        <v>0</v>
      </c>
      <c r="H49" s="5">
        <f t="shared" si="0"/>
        <v>9941525</v>
      </c>
    </row>
    <row r="50" spans="1:8" ht="12.75" x14ac:dyDescent="0.35">
      <c r="A50" s="2">
        <v>2015</v>
      </c>
      <c r="B50" s="3" t="s">
        <v>13</v>
      </c>
      <c r="C50" s="3">
        <v>791405</v>
      </c>
      <c r="D50" s="3">
        <v>22688180</v>
      </c>
      <c r="E50" s="3">
        <v>1194476</v>
      </c>
      <c r="F50" s="2">
        <v>26729496</v>
      </c>
      <c r="G50" s="3">
        <v>0</v>
      </c>
      <c r="H50" s="5">
        <f t="shared" si="0"/>
        <v>4041316</v>
      </c>
    </row>
    <row r="51" spans="1:8" ht="12.75" x14ac:dyDescent="0.35">
      <c r="A51" s="2">
        <v>2024</v>
      </c>
      <c r="B51" s="3" t="s">
        <v>14</v>
      </c>
      <c r="C51" s="3">
        <v>327319.90980000002</v>
      </c>
      <c r="D51" s="3">
        <v>6693076.9639500007</v>
      </c>
      <c r="E51" s="3">
        <v>760506.65925000003</v>
      </c>
      <c r="F51" s="2">
        <v>15135565.003650002</v>
      </c>
      <c r="G51" s="3">
        <v>1</v>
      </c>
      <c r="H51" s="5">
        <f t="shared" si="0"/>
        <v>8442488.0397000015</v>
      </c>
    </row>
    <row r="52" spans="1:8" ht="12.75" x14ac:dyDescent="0.35">
      <c r="A52" s="2">
        <v>2023</v>
      </c>
      <c r="B52" s="3" t="s">
        <v>14</v>
      </c>
      <c r="C52" s="3">
        <v>314458.72944000002</v>
      </c>
      <c r="D52" s="3">
        <v>10844483.654879998</v>
      </c>
      <c r="E52" s="3">
        <v>1576697.10552</v>
      </c>
      <c r="F52" s="2">
        <v>22153935.93984</v>
      </c>
      <c r="G52" s="3">
        <v>1</v>
      </c>
      <c r="H52" s="5">
        <f t="shared" si="0"/>
        <v>11309452.284960002</v>
      </c>
    </row>
    <row r="53" spans="1:8" ht="12.75" x14ac:dyDescent="0.35">
      <c r="A53" s="2">
        <v>2022</v>
      </c>
      <c r="B53" s="3" t="s">
        <v>14</v>
      </c>
      <c r="C53" s="3">
        <v>438382.42185000004</v>
      </c>
      <c r="D53" s="3">
        <v>21962259.906750001</v>
      </c>
      <c r="E53" s="3">
        <v>2280209.3173499997</v>
      </c>
      <c r="F53" s="2">
        <v>33241879.27005</v>
      </c>
      <c r="G53" s="3">
        <v>1</v>
      </c>
      <c r="H53" s="5">
        <f t="shared" si="0"/>
        <v>11279619.363299999</v>
      </c>
    </row>
    <row r="54" spans="1:8" ht="12.75" x14ac:dyDescent="0.35">
      <c r="A54" s="2">
        <v>2021</v>
      </c>
      <c r="B54" s="3" t="s">
        <v>14</v>
      </c>
      <c r="C54" s="3">
        <v>688650.77819999994</v>
      </c>
      <c r="D54" s="3">
        <v>22100310.119579997</v>
      </c>
      <c r="E54" s="3">
        <v>2028550.8566399999</v>
      </c>
      <c r="F54" s="2">
        <v>30286783.961279999</v>
      </c>
      <c r="G54" s="3">
        <v>1</v>
      </c>
      <c r="H54" s="5">
        <f t="shared" si="0"/>
        <v>8186473.8417000026</v>
      </c>
    </row>
    <row r="55" spans="1:8" ht="12.75" x14ac:dyDescent="0.35">
      <c r="A55" s="2">
        <v>2020</v>
      </c>
      <c r="B55" s="3" t="s">
        <v>14</v>
      </c>
      <c r="C55" s="3">
        <v>626582.55180000002</v>
      </c>
      <c r="D55" s="3">
        <v>11024741.0702</v>
      </c>
      <c r="E55" s="3">
        <v>1763367.1172</v>
      </c>
      <c r="F55" s="2">
        <v>19739297.1054</v>
      </c>
      <c r="G55" s="3">
        <v>1</v>
      </c>
      <c r="H55" s="5">
        <f t="shared" si="0"/>
        <v>8714556.0351999998</v>
      </c>
    </row>
    <row r="56" spans="1:8" ht="12.75" x14ac:dyDescent="0.35">
      <c r="A56" s="2">
        <v>2019</v>
      </c>
      <c r="B56" s="3" t="s">
        <v>14</v>
      </c>
      <c r="C56" s="3">
        <v>626953.99604999996</v>
      </c>
      <c r="D56" s="3">
        <v>10605885.70152</v>
      </c>
      <c r="E56" s="3">
        <v>1581299.2235699999</v>
      </c>
      <c r="F56" s="2">
        <v>20096765.234999999</v>
      </c>
      <c r="G56" s="3">
        <v>1</v>
      </c>
      <c r="H56" s="5">
        <f t="shared" si="0"/>
        <v>9490879.5334799998</v>
      </c>
    </row>
    <row r="57" spans="1:8" ht="12.75" x14ac:dyDescent="0.35">
      <c r="A57" s="2">
        <v>2018</v>
      </c>
      <c r="B57" s="3" t="s">
        <v>14</v>
      </c>
      <c r="C57" s="3">
        <v>833046.07021999999</v>
      </c>
      <c r="D57" s="3">
        <v>16676425.432060001</v>
      </c>
      <c r="E57" s="3">
        <v>1245162.7724000001</v>
      </c>
      <c r="F57" s="2">
        <v>24798571.228179999</v>
      </c>
      <c r="G57" s="3">
        <v>1</v>
      </c>
      <c r="H57" s="5">
        <f t="shared" si="0"/>
        <v>8122145.7961199973</v>
      </c>
    </row>
    <row r="58" spans="1:8" ht="12.75" x14ac:dyDescent="0.35">
      <c r="A58" s="2">
        <v>2017</v>
      </c>
      <c r="B58" s="3" t="s">
        <v>14</v>
      </c>
      <c r="C58" s="3">
        <v>641584.03684000007</v>
      </c>
      <c r="D58" s="3">
        <v>11712976.44465</v>
      </c>
      <c r="E58" s="3">
        <v>986153.79016999993</v>
      </c>
      <c r="F58" s="2">
        <v>19389090.286599997</v>
      </c>
      <c r="G58" s="3">
        <v>1</v>
      </c>
      <c r="H58" s="5">
        <f t="shared" si="0"/>
        <v>7676113.8419499975</v>
      </c>
    </row>
    <row r="59" spans="1:8" ht="12.75" x14ac:dyDescent="0.35">
      <c r="A59" s="2">
        <v>2016</v>
      </c>
      <c r="B59" s="3" t="s">
        <v>14</v>
      </c>
      <c r="C59" s="3">
        <v>650151.84548999998</v>
      </c>
      <c r="D59" s="3">
        <v>9137951.8612199984</v>
      </c>
      <c r="E59" s="3">
        <v>1307809.5891</v>
      </c>
      <c r="F59" s="2">
        <v>17895910.975949999</v>
      </c>
      <c r="G59" s="3">
        <v>0</v>
      </c>
      <c r="H59" s="5">
        <f t="shared" si="0"/>
        <v>8757959.1147300005</v>
      </c>
    </row>
    <row r="60" spans="1:8" ht="12.75" x14ac:dyDescent="0.35">
      <c r="A60" s="2">
        <v>2015</v>
      </c>
      <c r="B60" s="3" t="s">
        <v>14</v>
      </c>
      <c r="C60" s="3">
        <v>717806.27010000008</v>
      </c>
      <c r="D60" s="3">
        <v>10620841.526070001</v>
      </c>
      <c r="E60" s="3">
        <v>2347766.0964499996</v>
      </c>
      <c r="F60" s="2">
        <v>17698430.09443</v>
      </c>
      <c r="G60" s="3">
        <v>0</v>
      </c>
      <c r="H60" s="5">
        <f t="shared" si="0"/>
        <v>7077588.568359999</v>
      </c>
    </row>
    <row r="61" spans="1:8" ht="12.75" x14ac:dyDescent="0.35">
      <c r="A61" s="2">
        <v>2024</v>
      </c>
      <c r="B61" s="3" t="s">
        <v>15</v>
      </c>
      <c r="C61" s="3">
        <v>137815.52700474003</v>
      </c>
      <c r="D61" s="3">
        <v>3488388.0128194503</v>
      </c>
      <c r="E61" s="3">
        <v>551262.10801896011</v>
      </c>
      <c r="F61" s="2">
        <v>5465036.0049031507</v>
      </c>
      <c r="G61" s="3">
        <v>1</v>
      </c>
      <c r="H61" s="5">
        <f t="shared" si="0"/>
        <v>1976647.9920837004</v>
      </c>
    </row>
    <row r="62" spans="1:8" ht="12.75" x14ac:dyDescent="0.35">
      <c r="A62" s="2">
        <v>2023</v>
      </c>
      <c r="B62" s="3" t="s">
        <v>15</v>
      </c>
      <c r="C62" s="3">
        <v>127776.85355462399</v>
      </c>
      <c r="D62" s="3">
        <v>3946843.4617487998</v>
      </c>
      <c r="E62" s="3">
        <v>511107.41421849595</v>
      </c>
      <c r="F62" s="2">
        <v>5169914.3559703194</v>
      </c>
      <c r="G62" s="3">
        <v>0</v>
      </c>
      <c r="H62" s="5">
        <f t="shared" si="0"/>
        <v>1223070.8942215196</v>
      </c>
    </row>
    <row r="63" spans="1:8" ht="12.75" x14ac:dyDescent="0.35">
      <c r="A63" s="2">
        <v>2022</v>
      </c>
      <c r="B63" s="3" t="s">
        <v>15</v>
      </c>
      <c r="C63" s="3">
        <v>121144</v>
      </c>
      <c r="D63" s="3">
        <v>4187841.3926444999</v>
      </c>
      <c r="E63" s="3">
        <v>484576</v>
      </c>
      <c r="F63" s="2">
        <v>6119274.5105219996</v>
      </c>
      <c r="G63" s="3">
        <v>0</v>
      </c>
      <c r="H63" s="5">
        <f t="shared" si="0"/>
        <v>1931433.1178774997</v>
      </c>
    </row>
    <row r="64" spans="1:8" ht="12.75" x14ac:dyDescent="0.35">
      <c r="A64" s="2">
        <v>2021</v>
      </c>
      <c r="B64" s="3" t="s">
        <v>15</v>
      </c>
      <c r="C64" s="3">
        <v>122621</v>
      </c>
      <c r="D64" s="3">
        <v>3413977.0041761999</v>
      </c>
      <c r="E64" s="3">
        <v>490484</v>
      </c>
      <c r="F64" s="2">
        <v>5309477.5400667004</v>
      </c>
      <c r="G64" s="3">
        <v>0</v>
      </c>
      <c r="H64" s="5">
        <f t="shared" si="0"/>
        <v>1895500.5358905005</v>
      </c>
    </row>
    <row r="65" spans="1:8" ht="12.75" x14ac:dyDescent="0.35">
      <c r="A65" s="2">
        <v>2020</v>
      </c>
      <c r="B65" s="3" t="s">
        <v>15</v>
      </c>
      <c r="C65" s="3">
        <v>144309</v>
      </c>
      <c r="D65" s="3">
        <v>2716294.4053808004</v>
      </c>
      <c r="E65" s="3">
        <v>577236</v>
      </c>
      <c r="F65" s="2">
        <v>4738593.3316496005</v>
      </c>
      <c r="G65" s="3">
        <v>0</v>
      </c>
      <c r="H65" s="5">
        <f t="shared" si="0"/>
        <v>2022298.9262688002</v>
      </c>
    </row>
    <row r="66" spans="1:8" ht="12.75" x14ac:dyDescent="0.35">
      <c r="A66" s="2">
        <v>2019</v>
      </c>
      <c r="B66" s="3" t="s">
        <v>15</v>
      </c>
      <c r="C66" s="3">
        <v>148585</v>
      </c>
      <c r="D66" s="3">
        <v>3068291.3805056401</v>
      </c>
      <c r="E66" s="3">
        <v>594340</v>
      </c>
      <c r="F66" s="2">
        <v>4556944.1909458796</v>
      </c>
      <c r="G66" s="3">
        <v>0</v>
      </c>
      <c r="H66" s="5">
        <f t="shared" si="0"/>
        <v>1488652.8104402395</v>
      </c>
    </row>
    <row r="67" spans="1:8" ht="12.75" x14ac:dyDescent="0.35">
      <c r="A67" s="2">
        <v>2024</v>
      </c>
      <c r="B67" s="3" t="s">
        <v>16</v>
      </c>
      <c r="C67" s="3">
        <v>64010</v>
      </c>
      <c r="D67" s="3">
        <v>76292</v>
      </c>
      <c r="E67" s="3">
        <v>1182763</v>
      </c>
      <c r="F67" s="2">
        <v>2907675</v>
      </c>
      <c r="G67">
        <v>1</v>
      </c>
      <c r="H67" s="5">
        <f t="shared" ref="H67:H130" si="1">F67-D67</f>
        <v>2831383</v>
      </c>
    </row>
    <row r="68" spans="1:8" ht="12.75" x14ac:dyDescent="0.35">
      <c r="A68" s="2">
        <v>2023</v>
      </c>
      <c r="B68" s="3" t="s">
        <v>16</v>
      </c>
      <c r="C68" s="3">
        <v>61243</v>
      </c>
      <c r="D68" s="3">
        <v>102944</v>
      </c>
      <c r="E68" s="3">
        <v>1151261</v>
      </c>
      <c r="F68" s="2">
        <v>2822745</v>
      </c>
      <c r="G68">
        <v>0</v>
      </c>
      <c r="H68" s="5">
        <f t="shared" si="1"/>
        <v>2719801</v>
      </c>
    </row>
    <row r="69" spans="1:8" ht="12.75" x14ac:dyDescent="0.35">
      <c r="A69" s="2">
        <v>2022</v>
      </c>
      <c r="B69" s="3" t="s">
        <v>16</v>
      </c>
      <c r="C69" s="3">
        <v>59865</v>
      </c>
      <c r="D69" s="3">
        <v>112564</v>
      </c>
      <c r="E69" s="3">
        <v>944577</v>
      </c>
      <c r="F69" s="2">
        <v>2612464</v>
      </c>
      <c r="G69">
        <v>0</v>
      </c>
      <c r="H69" s="5">
        <f t="shared" si="1"/>
        <v>2499900</v>
      </c>
    </row>
    <row r="70" spans="1:8" ht="12.75" x14ac:dyDescent="0.35">
      <c r="A70" s="2">
        <v>2021</v>
      </c>
      <c r="B70" s="3" t="s">
        <v>16</v>
      </c>
      <c r="C70" s="3">
        <v>56657</v>
      </c>
      <c r="D70" s="3">
        <v>33293</v>
      </c>
      <c r="E70" s="3">
        <v>949036</v>
      </c>
      <c r="F70" s="2">
        <v>2738813</v>
      </c>
      <c r="G70">
        <v>0</v>
      </c>
      <c r="H70" s="5">
        <f t="shared" si="1"/>
        <v>2705520</v>
      </c>
    </row>
    <row r="71" spans="1:8" ht="12.75" x14ac:dyDescent="0.35">
      <c r="A71" s="2">
        <v>2020</v>
      </c>
      <c r="B71" s="3" t="s">
        <v>16</v>
      </c>
      <c r="C71" s="3">
        <v>52323</v>
      </c>
      <c r="D71" s="3">
        <v>36492</v>
      </c>
      <c r="E71" s="3">
        <v>659812</v>
      </c>
      <c r="F71" s="2">
        <v>2188179</v>
      </c>
      <c r="G71">
        <v>0</v>
      </c>
      <c r="H71" s="5">
        <f t="shared" si="1"/>
        <v>2151687</v>
      </c>
    </row>
    <row r="72" spans="1:8" ht="12.75" x14ac:dyDescent="0.35">
      <c r="A72" s="2">
        <v>2019</v>
      </c>
      <c r="B72" s="3" t="s">
        <v>16</v>
      </c>
      <c r="C72" s="3">
        <v>53568</v>
      </c>
      <c r="D72" s="3">
        <v>61407</v>
      </c>
      <c r="E72" s="3">
        <v>674247</v>
      </c>
      <c r="F72" s="2">
        <v>2203617</v>
      </c>
      <c r="G72">
        <v>0</v>
      </c>
      <c r="H72" s="5">
        <f t="shared" si="1"/>
        <v>2142210</v>
      </c>
    </row>
    <row r="73" spans="1:8" ht="12.75" x14ac:dyDescent="0.35">
      <c r="A73" s="2">
        <v>2018</v>
      </c>
      <c r="B73" s="3" t="s">
        <v>16</v>
      </c>
      <c r="C73" s="3">
        <v>48739</v>
      </c>
      <c r="D73" s="3">
        <v>54007</v>
      </c>
      <c r="E73" s="3">
        <v>651470</v>
      </c>
      <c r="F73" s="2">
        <v>2073258</v>
      </c>
      <c r="G73">
        <v>0</v>
      </c>
      <c r="H73" s="5">
        <f t="shared" si="1"/>
        <v>2019251</v>
      </c>
    </row>
    <row r="74" spans="1:8" ht="12.75" x14ac:dyDescent="0.35">
      <c r="A74" s="2">
        <v>2017</v>
      </c>
      <c r="B74" s="3" t="s">
        <v>16</v>
      </c>
      <c r="C74" s="3">
        <v>45242</v>
      </c>
      <c r="D74" s="3">
        <v>68784</v>
      </c>
      <c r="E74" s="3">
        <v>607755</v>
      </c>
      <c r="F74" s="2">
        <v>1838417</v>
      </c>
      <c r="G74">
        <v>0</v>
      </c>
      <c r="H74" s="5">
        <f t="shared" si="1"/>
        <v>1769633</v>
      </c>
    </row>
    <row r="75" spans="1:8" ht="12.75" x14ac:dyDescent="0.35">
      <c r="A75" s="2">
        <v>2016</v>
      </c>
      <c r="B75" s="3" t="s">
        <v>16</v>
      </c>
      <c r="C75" s="3">
        <v>40009</v>
      </c>
      <c r="D75" s="3">
        <v>99681</v>
      </c>
      <c r="E75" s="3">
        <v>557982</v>
      </c>
      <c r="F75" s="2">
        <v>1651136</v>
      </c>
      <c r="G75">
        <v>0</v>
      </c>
      <c r="H75" s="5">
        <f t="shared" si="1"/>
        <v>1551455</v>
      </c>
    </row>
    <row r="76" spans="1:8" ht="12.75" x14ac:dyDescent="0.35">
      <c r="A76" s="2">
        <v>2015</v>
      </c>
      <c r="B76" s="3" t="s">
        <v>16</v>
      </c>
      <c r="C76" s="3">
        <v>29286</v>
      </c>
      <c r="D76" s="3">
        <v>110108</v>
      </c>
      <c r="E76" s="3">
        <v>548277</v>
      </c>
      <c r="F76" s="2">
        <v>1426441</v>
      </c>
      <c r="G76">
        <v>0</v>
      </c>
      <c r="H76" s="5">
        <f t="shared" si="1"/>
        <v>1316333</v>
      </c>
    </row>
    <row r="77" spans="1:8" ht="12.75" x14ac:dyDescent="0.35">
      <c r="A77" s="2">
        <v>2024</v>
      </c>
      <c r="B77" s="3" t="s">
        <v>17</v>
      </c>
      <c r="C77" s="3">
        <v>125642.20084260001</v>
      </c>
      <c r="D77" s="3">
        <v>2172315.01093425</v>
      </c>
      <c r="E77" s="3">
        <v>540121.05727125006</v>
      </c>
      <c r="F77" s="2">
        <v>3005865.2548840502</v>
      </c>
      <c r="G77">
        <v>1</v>
      </c>
      <c r="H77" s="5">
        <f t="shared" si="1"/>
        <v>833550.24394980026</v>
      </c>
    </row>
    <row r="78" spans="1:8" ht="12.75" x14ac:dyDescent="0.35">
      <c r="A78" s="2">
        <v>2023</v>
      </c>
      <c r="B78" s="3" t="s">
        <v>17</v>
      </c>
      <c r="C78" s="3">
        <v>127419.73460856</v>
      </c>
      <c r="D78" s="3">
        <v>2242057.9511414398</v>
      </c>
      <c r="E78" s="3">
        <v>529508.24453999999</v>
      </c>
      <c r="F78" s="2">
        <v>2987537.0087306397</v>
      </c>
      <c r="G78">
        <v>0</v>
      </c>
      <c r="H78" s="5">
        <f t="shared" si="1"/>
        <v>745479.05758919986</v>
      </c>
    </row>
    <row r="79" spans="1:8" ht="12.75" x14ac:dyDescent="0.35">
      <c r="A79" s="2">
        <v>2022</v>
      </c>
      <c r="B79" s="3" t="s">
        <v>17</v>
      </c>
      <c r="C79" s="3">
        <v>108376.77432405</v>
      </c>
      <c r="D79" s="3">
        <v>2628026.9144554501</v>
      </c>
      <c r="E79" s="3">
        <v>638707.68539205007</v>
      </c>
      <c r="F79" s="2">
        <v>3348168.1924276501</v>
      </c>
      <c r="G79">
        <v>0</v>
      </c>
      <c r="H79" s="5">
        <f t="shared" si="1"/>
        <v>720141.27797219995</v>
      </c>
    </row>
    <row r="80" spans="1:8" ht="12.75" x14ac:dyDescent="0.35">
      <c r="A80" s="2">
        <v>2021</v>
      </c>
      <c r="B80" s="3" t="s">
        <v>17</v>
      </c>
      <c r="C80" s="3">
        <v>91731.045127259989</v>
      </c>
      <c r="D80" s="3">
        <v>2206707.0879545999</v>
      </c>
      <c r="E80" s="3">
        <v>500028.12816726003</v>
      </c>
      <c r="F80" s="2">
        <v>3065532.3874190398</v>
      </c>
      <c r="G80">
        <v>0</v>
      </c>
      <c r="H80" s="5">
        <f t="shared" si="1"/>
        <v>858825.29946443997</v>
      </c>
    </row>
    <row r="81" spans="1:8" ht="12.75" x14ac:dyDescent="0.35">
      <c r="A81" s="2">
        <v>2024</v>
      </c>
      <c r="B81" s="3" t="s">
        <v>18</v>
      </c>
      <c r="C81" s="3">
        <v>170013.67766760002</v>
      </c>
      <c r="D81" s="3">
        <v>2174058.6189152999</v>
      </c>
      <c r="E81" s="3">
        <v>426453.33622125001</v>
      </c>
      <c r="F81" s="2">
        <v>3044239.8992654998</v>
      </c>
      <c r="G81">
        <v>1</v>
      </c>
      <c r="H81" s="5">
        <f t="shared" si="1"/>
        <v>870181.2803501999</v>
      </c>
    </row>
    <row r="82" spans="1:8" ht="12.75" x14ac:dyDescent="0.35">
      <c r="A82" s="2">
        <v>2023</v>
      </c>
      <c r="B82" s="3" t="s">
        <v>18</v>
      </c>
      <c r="C82" s="3">
        <v>186510.25985855999</v>
      </c>
      <c r="D82" s="3">
        <v>3551206.0792036797</v>
      </c>
      <c r="E82" s="3">
        <v>622241.87701439997</v>
      </c>
      <c r="F82" s="2">
        <v>4436959.7090035193</v>
      </c>
      <c r="G82">
        <v>0</v>
      </c>
      <c r="H82" s="5">
        <f t="shared" si="1"/>
        <v>885753.62979983957</v>
      </c>
    </row>
    <row r="83" spans="1:8" ht="12.75" x14ac:dyDescent="0.35">
      <c r="A83" s="2">
        <v>2022</v>
      </c>
      <c r="B83" s="3" t="s">
        <v>18</v>
      </c>
      <c r="C83" s="3">
        <v>190754.62431615</v>
      </c>
      <c r="D83" s="3">
        <v>4553169.7546717497</v>
      </c>
      <c r="E83" s="3">
        <v>739289.62495259999</v>
      </c>
      <c r="F83" s="2">
        <v>5895107.7682554005</v>
      </c>
      <c r="G83">
        <v>0</v>
      </c>
      <c r="H83" s="5">
        <f t="shared" si="1"/>
        <v>1341938.0135836508</v>
      </c>
    </row>
    <row r="84" spans="1:8" ht="12.75" x14ac:dyDescent="0.35">
      <c r="A84" s="2">
        <v>2021</v>
      </c>
      <c r="B84" s="3" t="s">
        <v>18</v>
      </c>
      <c r="C84" s="3">
        <v>160444.81436675997</v>
      </c>
      <c r="D84" s="3">
        <v>3811452.7550853598</v>
      </c>
      <c r="E84" s="3">
        <v>795615.82875852007</v>
      </c>
      <c r="F84" s="2">
        <v>5336561.9905982995</v>
      </c>
      <c r="G84">
        <v>0</v>
      </c>
      <c r="H84" s="5">
        <f t="shared" si="1"/>
        <v>1525109.2355129397</v>
      </c>
    </row>
    <row r="85" spans="1:8" ht="12.75" x14ac:dyDescent="0.35">
      <c r="A85" s="2">
        <v>2020</v>
      </c>
      <c r="B85" s="3" t="s">
        <v>18</v>
      </c>
      <c r="C85" s="3">
        <v>141677.18463639999</v>
      </c>
      <c r="D85" s="3">
        <v>2648268.9090112001</v>
      </c>
      <c r="E85" s="3">
        <v>768529.7112872001</v>
      </c>
      <c r="F85" s="2">
        <v>3805382.2861159998</v>
      </c>
      <c r="G85">
        <v>0</v>
      </c>
      <c r="H85" s="5">
        <f t="shared" si="1"/>
        <v>1157113.3771047997</v>
      </c>
    </row>
    <row r="86" spans="1:8" ht="12.75" x14ac:dyDescent="0.35">
      <c r="A86" s="2">
        <v>2019</v>
      </c>
      <c r="B86" s="3" t="s">
        <v>18</v>
      </c>
      <c r="C86" s="3">
        <v>147849.10766907001</v>
      </c>
      <c r="D86" s="3">
        <v>4246166.0873360997</v>
      </c>
      <c r="E86" s="3">
        <v>931564.42292328004</v>
      </c>
      <c r="F86" s="2">
        <v>5666635.0510715405</v>
      </c>
      <c r="G86">
        <v>0</v>
      </c>
      <c r="H86" s="5">
        <f t="shared" si="1"/>
        <v>1420468.9637354407</v>
      </c>
    </row>
    <row r="87" spans="1:8" ht="12.75" x14ac:dyDescent="0.35">
      <c r="A87" s="2">
        <v>2024</v>
      </c>
      <c r="B87" s="3" t="s">
        <v>19</v>
      </c>
      <c r="C87" s="3">
        <v>26673.036883350003</v>
      </c>
      <c r="D87" s="3">
        <v>1209585.5482113</v>
      </c>
      <c r="E87" s="3">
        <v>412223.38695525</v>
      </c>
      <c r="F87" s="2">
        <v>1738962.4610436</v>
      </c>
      <c r="G87">
        <v>1</v>
      </c>
      <c r="H87" s="5">
        <f t="shared" si="1"/>
        <v>529376.91283229995</v>
      </c>
    </row>
    <row r="88" spans="1:8" ht="12.75" x14ac:dyDescent="0.35">
      <c r="A88" s="2">
        <v>2023</v>
      </c>
      <c r="B88" s="3" t="s">
        <v>19</v>
      </c>
      <c r="C88" s="3">
        <v>25858.691890559996</v>
      </c>
      <c r="D88" s="3">
        <v>1147769.1819168001</v>
      </c>
      <c r="E88" s="3">
        <v>440700.95796216</v>
      </c>
      <c r="F88" s="2">
        <v>1596865.8588383999</v>
      </c>
      <c r="G88">
        <v>0</v>
      </c>
      <c r="H88" s="5">
        <f t="shared" si="1"/>
        <v>449096.67692159978</v>
      </c>
    </row>
    <row r="89" spans="1:8" ht="12.75" x14ac:dyDescent="0.35">
      <c r="A89" s="2">
        <v>2022</v>
      </c>
      <c r="B89" s="3" t="s">
        <v>19</v>
      </c>
      <c r="C89" s="3">
        <v>18119.653321350001</v>
      </c>
      <c r="D89" s="3">
        <v>1673062.0627125001</v>
      </c>
      <c r="E89" s="3">
        <v>672654.69493949995</v>
      </c>
      <c r="F89" s="2">
        <v>2120171.2959119999</v>
      </c>
      <c r="G89">
        <v>0</v>
      </c>
      <c r="H89" s="5">
        <f t="shared" si="1"/>
        <v>447109.23319949978</v>
      </c>
    </row>
    <row r="90" spans="1:8" ht="12.75" x14ac:dyDescent="0.35">
      <c r="A90" s="2">
        <v>2021</v>
      </c>
      <c r="B90" s="3" t="s">
        <v>19</v>
      </c>
      <c r="C90" s="3">
        <v>31504.764378779997</v>
      </c>
      <c r="D90" s="3">
        <v>2093853.7513093199</v>
      </c>
      <c r="E90" s="3">
        <v>595564.07973216008</v>
      </c>
      <c r="F90" s="2">
        <v>2721301.6466651396</v>
      </c>
      <c r="G90">
        <v>0</v>
      </c>
      <c r="H90" s="5">
        <f t="shared" si="1"/>
        <v>627447.89535581972</v>
      </c>
    </row>
    <row r="91" spans="1:8" ht="12.75" x14ac:dyDescent="0.35">
      <c r="A91" s="2">
        <v>2020</v>
      </c>
      <c r="B91" s="3" t="s">
        <v>19</v>
      </c>
      <c r="C91" s="3">
        <v>38338.149513200005</v>
      </c>
      <c r="D91" s="3">
        <v>1585273.8336680001</v>
      </c>
      <c r="E91" s="3">
        <v>663608.72619700001</v>
      </c>
      <c r="F91" s="2">
        <v>2226887.8484678003</v>
      </c>
      <c r="G91">
        <v>0</v>
      </c>
      <c r="H91" s="5">
        <f t="shared" si="1"/>
        <v>641614.01479980024</v>
      </c>
    </row>
    <row r="92" spans="1:8" ht="12.75" x14ac:dyDescent="0.35">
      <c r="A92" s="2">
        <v>2019</v>
      </c>
      <c r="B92" s="3" t="s">
        <v>19</v>
      </c>
      <c r="C92" s="3">
        <v>48642.151154580002</v>
      </c>
      <c r="D92" s="3">
        <v>2590019.9030690696</v>
      </c>
      <c r="E92" s="3">
        <v>929192.91973953007</v>
      </c>
      <c r="F92" s="2">
        <v>3301934.4490446299</v>
      </c>
      <c r="G92">
        <v>0</v>
      </c>
      <c r="H92" s="5">
        <f t="shared" si="1"/>
        <v>711914.54597556032</v>
      </c>
    </row>
    <row r="93" spans="1:8" ht="12.75" x14ac:dyDescent="0.35">
      <c r="A93" s="2">
        <v>2018</v>
      </c>
      <c r="B93" s="3" t="s">
        <v>19</v>
      </c>
      <c r="C93" s="3">
        <v>46022.958669359999</v>
      </c>
      <c r="D93" s="3">
        <v>3903389.8467616802</v>
      </c>
      <c r="E93" s="3">
        <v>1030601.85024014</v>
      </c>
      <c r="F93" s="2">
        <v>5077406.6009276602</v>
      </c>
      <c r="G93">
        <v>0</v>
      </c>
      <c r="H93" s="5">
        <f t="shared" si="1"/>
        <v>1174016.75416598</v>
      </c>
    </row>
    <row r="94" spans="1:8" ht="12.75" x14ac:dyDescent="0.35">
      <c r="A94" s="2">
        <v>2017</v>
      </c>
      <c r="B94" s="3" t="s">
        <v>19</v>
      </c>
      <c r="C94" s="3">
        <v>39721.060759150001</v>
      </c>
      <c r="D94" s="3">
        <v>3117993.8478559502</v>
      </c>
      <c r="E94" s="3">
        <v>843515.14593224996</v>
      </c>
      <c r="F94" s="2">
        <v>4262929.1831922997</v>
      </c>
      <c r="G94">
        <v>0</v>
      </c>
      <c r="H94" s="5">
        <f t="shared" si="1"/>
        <v>1144935.3353363494</v>
      </c>
    </row>
    <row r="95" spans="1:8" ht="12.75" x14ac:dyDescent="0.35">
      <c r="A95" s="2">
        <v>2016</v>
      </c>
      <c r="B95" s="3" t="s">
        <v>19</v>
      </c>
      <c r="C95" s="3">
        <v>48720.026122110001</v>
      </c>
      <c r="D95" s="3">
        <v>2964109.4839637396</v>
      </c>
      <c r="E95" s="3">
        <v>972994.49737769994</v>
      </c>
      <c r="F95" s="2">
        <v>3280136.8335917997</v>
      </c>
      <c r="G95">
        <v>0</v>
      </c>
      <c r="H95" s="5">
        <f t="shared" si="1"/>
        <v>316027.34962806012</v>
      </c>
    </row>
    <row r="96" spans="1:8" ht="12.75" x14ac:dyDescent="0.35">
      <c r="A96" s="2">
        <v>2015</v>
      </c>
      <c r="B96" s="3" t="s">
        <v>19</v>
      </c>
      <c r="C96" s="3">
        <v>46319.124112849997</v>
      </c>
      <c r="D96" s="3">
        <v>3064542.1719551901</v>
      </c>
      <c r="E96" s="3">
        <v>989667.90352547995</v>
      </c>
      <c r="F96" s="2">
        <v>3506530.54593114</v>
      </c>
      <c r="G96">
        <v>0</v>
      </c>
      <c r="H96" s="5">
        <f t="shared" si="1"/>
        <v>441988.37397594983</v>
      </c>
    </row>
    <row r="97" spans="1:8" ht="12.75" x14ac:dyDescent="0.35">
      <c r="A97" s="2">
        <v>2024</v>
      </c>
      <c r="B97" s="3" t="s">
        <v>20</v>
      </c>
      <c r="C97" s="3">
        <v>695721.29055000003</v>
      </c>
      <c r="D97" s="3">
        <v>20955418.914299998</v>
      </c>
      <c r="E97" s="3">
        <v>2858959.6113</v>
      </c>
      <c r="F97" s="2">
        <v>28307749.633800004</v>
      </c>
      <c r="G97">
        <v>1</v>
      </c>
      <c r="H97" s="5">
        <f t="shared" si="1"/>
        <v>7352330.7195000052</v>
      </c>
    </row>
    <row r="98" spans="1:8" ht="12.75" x14ac:dyDescent="0.35">
      <c r="A98" s="2">
        <v>2023</v>
      </c>
      <c r="B98" s="3" t="s">
        <v>20</v>
      </c>
      <c r="C98" s="3">
        <v>736398.41039999994</v>
      </c>
      <c r="D98" s="3">
        <v>26164557.019680001</v>
      </c>
      <c r="E98" s="3">
        <v>3475364.7223199997</v>
      </c>
      <c r="F98" s="2">
        <v>32910624.692159999</v>
      </c>
      <c r="G98">
        <v>0</v>
      </c>
      <c r="H98" s="5">
        <f t="shared" si="1"/>
        <v>6746067.6724799983</v>
      </c>
    </row>
    <row r="99" spans="1:8" ht="12.75" x14ac:dyDescent="0.35">
      <c r="A99" s="2">
        <v>2022</v>
      </c>
      <c r="B99" s="3" t="s">
        <v>20</v>
      </c>
      <c r="C99" s="3">
        <v>727345.65300000005</v>
      </c>
      <c r="D99" s="3">
        <v>27186555.935550001</v>
      </c>
      <c r="E99" s="3">
        <v>4369345.6147499997</v>
      </c>
      <c r="F99" s="2">
        <v>35410818.661349997</v>
      </c>
      <c r="G99">
        <v>0</v>
      </c>
      <c r="H99" s="5">
        <f t="shared" si="1"/>
        <v>8224262.7257999964</v>
      </c>
    </row>
    <row r="100" spans="1:8" ht="12.75" x14ac:dyDescent="0.35">
      <c r="A100" s="2">
        <v>2021</v>
      </c>
      <c r="B100" s="3" t="s">
        <v>20</v>
      </c>
      <c r="C100" s="3">
        <v>655098.1899</v>
      </c>
      <c r="D100" s="3">
        <v>26125862.384160001</v>
      </c>
      <c r="E100" s="3">
        <v>3997708.62414</v>
      </c>
      <c r="F100" s="2">
        <v>36921082.159500003</v>
      </c>
      <c r="G100">
        <v>0</v>
      </c>
      <c r="H100" s="5">
        <f t="shared" si="1"/>
        <v>10795219.775340002</v>
      </c>
    </row>
    <row r="101" spans="1:8" ht="12.75" x14ac:dyDescent="0.35">
      <c r="A101" s="2">
        <v>2020</v>
      </c>
      <c r="B101" s="3" t="s">
        <v>20</v>
      </c>
      <c r="C101" s="3">
        <v>706974.22039999999</v>
      </c>
      <c r="D101" s="3">
        <v>17411569.683800001</v>
      </c>
      <c r="E101" s="3">
        <v>3068532.3459999999</v>
      </c>
      <c r="F101" s="2">
        <v>26341927.696800005</v>
      </c>
      <c r="G101">
        <v>0</v>
      </c>
      <c r="H101" s="5">
        <f t="shared" si="1"/>
        <v>8930358.013000004</v>
      </c>
    </row>
    <row r="102" spans="1:8" ht="12.75" x14ac:dyDescent="0.35">
      <c r="A102" s="2">
        <v>2019</v>
      </c>
      <c r="B102" s="3" t="s">
        <v>20</v>
      </c>
      <c r="C102" s="3">
        <v>826110.74664000003</v>
      </c>
      <c r="D102" s="3">
        <v>17803385.484990001</v>
      </c>
      <c r="E102" s="3">
        <v>4153190.0052</v>
      </c>
      <c r="F102" s="2">
        <v>26611611.645630002</v>
      </c>
      <c r="G102">
        <v>0</v>
      </c>
      <c r="H102" s="5">
        <f t="shared" si="1"/>
        <v>8808226.1606400013</v>
      </c>
    </row>
    <row r="103" spans="1:8" ht="12.75" x14ac:dyDescent="0.35">
      <c r="A103" s="2">
        <v>2018</v>
      </c>
      <c r="B103" s="3" t="s">
        <v>20</v>
      </c>
      <c r="C103" s="3">
        <v>780127.36424000002</v>
      </c>
      <c r="D103" s="3">
        <v>23082066.0832</v>
      </c>
      <c r="E103" s="3">
        <v>4654739.0591200003</v>
      </c>
      <c r="F103" s="2">
        <v>36207656.309859999</v>
      </c>
      <c r="G103">
        <v>0</v>
      </c>
      <c r="H103" s="5">
        <f t="shared" si="1"/>
        <v>13125590.226659998</v>
      </c>
    </row>
    <row r="104" spans="1:8" ht="12.75" x14ac:dyDescent="0.35">
      <c r="A104" s="2">
        <v>2017</v>
      </c>
      <c r="B104" s="3" t="s">
        <v>20</v>
      </c>
      <c r="C104" s="3">
        <v>633127.35227999999</v>
      </c>
      <c r="D104" s="3">
        <v>18699107.78765</v>
      </c>
      <c r="E104" s="3">
        <v>3916983.7467300002</v>
      </c>
      <c r="F104" s="2">
        <v>32361657.782470003</v>
      </c>
      <c r="G104">
        <v>0</v>
      </c>
      <c r="H104" s="5">
        <f t="shared" si="1"/>
        <v>13662549.994820002</v>
      </c>
    </row>
    <row r="105" spans="1:8" ht="12.75" x14ac:dyDescent="0.35">
      <c r="A105" s="2">
        <v>2016</v>
      </c>
      <c r="B105" s="3" t="s">
        <v>20</v>
      </c>
      <c r="C105" s="3">
        <v>454532.70282000001</v>
      </c>
      <c r="D105" s="3">
        <v>13507622.24175</v>
      </c>
      <c r="E105" s="3">
        <v>3630499.1156700002</v>
      </c>
      <c r="F105" s="2">
        <v>25689548.498880003</v>
      </c>
      <c r="G105">
        <v>0</v>
      </c>
      <c r="H105" s="5">
        <f t="shared" si="1"/>
        <v>12181926.257130003</v>
      </c>
    </row>
    <row r="106" spans="1:8" ht="12.75" x14ac:dyDescent="0.35">
      <c r="A106" s="2">
        <v>2015</v>
      </c>
      <c r="B106" s="3" t="s">
        <v>20</v>
      </c>
      <c r="C106" s="3">
        <v>367338.46335000003</v>
      </c>
      <c r="D106" s="3">
        <v>9390850.1552399993</v>
      </c>
      <c r="E106" s="3">
        <v>2894455.7067499999</v>
      </c>
      <c r="F106" s="2">
        <v>18444889.701930001</v>
      </c>
      <c r="G106">
        <v>0</v>
      </c>
      <c r="H106" s="5">
        <f t="shared" si="1"/>
        <v>9054039.5466900021</v>
      </c>
    </row>
    <row r="107" spans="1:8" ht="12.75" x14ac:dyDescent="0.35">
      <c r="A107" s="2">
        <v>2024</v>
      </c>
      <c r="B107" s="3" t="s">
        <v>21</v>
      </c>
      <c r="C107" s="3">
        <v>112382.33557395001</v>
      </c>
      <c r="D107" s="3">
        <v>1766498.3832268501</v>
      </c>
      <c r="E107" s="3">
        <v>1126390.5592153501</v>
      </c>
      <c r="F107" s="2">
        <v>3661264.6139608501</v>
      </c>
      <c r="G107">
        <v>1</v>
      </c>
      <c r="H107" s="5">
        <f t="shared" si="1"/>
        <v>1894766.230734</v>
      </c>
    </row>
    <row r="108" spans="1:8" ht="12.75" x14ac:dyDescent="0.35">
      <c r="A108" s="2">
        <v>2023</v>
      </c>
      <c r="B108" s="3" t="s">
        <v>21</v>
      </c>
      <c r="C108" s="3">
        <v>128552.30713583999</v>
      </c>
      <c r="D108" s="3">
        <v>1911694.5244879199</v>
      </c>
      <c r="E108" s="3">
        <v>1130031.7470662401</v>
      </c>
      <c r="F108" s="2">
        <v>3839116.7241175198</v>
      </c>
      <c r="G108">
        <v>0</v>
      </c>
      <c r="H108" s="5">
        <f t="shared" si="1"/>
        <v>1927422.1996295999</v>
      </c>
    </row>
    <row r="109" spans="1:8" ht="12.75" x14ac:dyDescent="0.35">
      <c r="A109" s="2">
        <v>2022</v>
      </c>
      <c r="B109" s="3" t="s">
        <v>21</v>
      </c>
      <c r="C109" s="3">
        <v>123049.59926219999</v>
      </c>
      <c r="D109" s="3">
        <v>2731987.1354916003</v>
      </c>
      <c r="E109" s="3">
        <v>1140286.717836</v>
      </c>
      <c r="F109" s="2">
        <v>4978178.2382634003</v>
      </c>
      <c r="G109">
        <v>0</v>
      </c>
      <c r="H109" s="5">
        <f t="shared" si="1"/>
        <v>2246191.1027718</v>
      </c>
    </row>
    <row r="110" spans="1:8" ht="12.75" x14ac:dyDescent="0.35">
      <c r="A110" s="2">
        <v>2021</v>
      </c>
      <c r="B110" s="3" t="s">
        <v>21</v>
      </c>
      <c r="C110" s="3">
        <v>115874.31440045999</v>
      </c>
      <c r="D110" s="3">
        <v>1987209.6466391399</v>
      </c>
      <c r="E110" s="3">
        <v>1041030.0046838999</v>
      </c>
      <c r="F110" s="2">
        <v>3716778.2537054401</v>
      </c>
      <c r="G110">
        <v>0</v>
      </c>
      <c r="H110" s="5">
        <f t="shared" si="1"/>
        <v>1729568.6070663002</v>
      </c>
    </row>
    <row r="111" spans="1:8" ht="12.75" x14ac:dyDescent="0.35">
      <c r="A111" s="2">
        <v>2020</v>
      </c>
      <c r="B111" s="3" t="s">
        <v>21</v>
      </c>
      <c r="C111" s="3">
        <v>113128.97007960001</v>
      </c>
      <c r="D111" s="3">
        <v>1232491.2916254001</v>
      </c>
      <c r="E111" s="3">
        <v>904371.40570980008</v>
      </c>
      <c r="F111" s="2">
        <v>2456988.3295668005</v>
      </c>
      <c r="G111">
        <v>0</v>
      </c>
      <c r="H111" s="5">
        <f t="shared" si="1"/>
        <v>1224497.0379414004</v>
      </c>
    </row>
    <row r="112" spans="1:8" ht="12.75" x14ac:dyDescent="0.35">
      <c r="A112" s="2">
        <v>2019</v>
      </c>
      <c r="B112" s="3" t="s">
        <v>21</v>
      </c>
      <c r="C112" s="3">
        <v>165450.95959491</v>
      </c>
      <c r="D112" s="3">
        <v>1783069.67130648</v>
      </c>
      <c r="E112" s="3">
        <v>972967.22548652999</v>
      </c>
      <c r="F112" s="2">
        <v>3474940.8444740102</v>
      </c>
      <c r="G112">
        <v>0</v>
      </c>
      <c r="H112" s="5">
        <f t="shared" si="1"/>
        <v>1691871.1731675302</v>
      </c>
    </row>
    <row r="113" spans="1:8" ht="12.75" x14ac:dyDescent="0.35">
      <c r="A113" s="2">
        <v>2018</v>
      </c>
      <c r="B113" s="3" t="s">
        <v>21</v>
      </c>
      <c r="C113" s="3">
        <v>161884.54313560002</v>
      </c>
      <c r="D113" s="3">
        <v>1938188.8936435001</v>
      </c>
      <c r="E113" s="3">
        <v>1050605.00720506</v>
      </c>
      <c r="F113" s="2">
        <v>3764820.1152043999</v>
      </c>
      <c r="G113">
        <v>0</v>
      </c>
      <c r="H113" s="5">
        <f t="shared" si="1"/>
        <v>1826631.2215608999</v>
      </c>
    </row>
    <row r="114" spans="1:8" ht="12.75" x14ac:dyDescent="0.35">
      <c r="A114" s="2">
        <v>2017</v>
      </c>
      <c r="B114" s="3" t="s">
        <v>21</v>
      </c>
      <c r="C114" s="3">
        <v>146056.80402291002</v>
      </c>
      <c r="D114" s="3">
        <v>1509272.1740196198</v>
      </c>
      <c r="E114" s="3">
        <v>955933.11871085002</v>
      </c>
      <c r="F114" s="2">
        <v>3235253.9683483099</v>
      </c>
      <c r="G114">
        <v>0</v>
      </c>
      <c r="H114" s="5">
        <f t="shared" si="1"/>
        <v>1725981.79432869</v>
      </c>
    </row>
    <row r="115" spans="1:8" ht="12.75" x14ac:dyDescent="0.35">
      <c r="A115" s="2">
        <v>2016</v>
      </c>
      <c r="B115" s="3" t="s">
        <v>21</v>
      </c>
      <c r="C115" s="3">
        <v>137855.65382967002</v>
      </c>
      <c r="D115" s="3">
        <v>1273892.99069508</v>
      </c>
      <c r="E115" s="3">
        <v>910699.98796391999</v>
      </c>
      <c r="F115" s="2">
        <v>2931811.2450284702</v>
      </c>
      <c r="G115">
        <v>0</v>
      </c>
      <c r="H115" s="5">
        <f t="shared" si="1"/>
        <v>1657918.2543333902</v>
      </c>
    </row>
    <row r="116" spans="1:8" ht="12.75" x14ac:dyDescent="0.35">
      <c r="A116" s="2">
        <v>2015</v>
      </c>
      <c r="B116" s="3" t="s">
        <v>21</v>
      </c>
      <c r="C116" s="3">
        <v>122894.24444506</v>
      </c>
      <c r="D116" s="3">
        <v>1351306.6557113999</v>
      </c>
      <c r="E116" s="3">
        <v>839665.49976265</v>
      </c>
      <c r="F116" s="2">
        <v>2783210.4230672698</v>
      </c>
      <c r="G116">
        <v>0</v>
      </c>
      <c r="H116" s="5">
        <f t="shared" si="1"/>
        <v>1431903.76735587</v>
      </c>
    </row>
    <row r="117" spans="1:8" ht="12.75" x14ac:dyDescent="0.35">
      <c r="A117" s="2">
        <v>2024</v>
      </c>
      <c r="B117" s="3" t="s">
        <v>22</v>
      </c>
      <c r="C117" s="3">
        <v>35377.504523399999</v>
      </c>
      <c r="D117" s="3">
        <v>3806139.1426889999</v>
      </c>
      <c r="E117" s="3">
        <v>256125.13399199999</v>
      </c>
      <c r="F117" s="2">
        <v>4496763.2865947997</v>
      </c>
      <c r="G117">
        <v>1</v>
      </c>
      <c r="H117" s="5">
        <f t="shared" si="1"/>
        <v>690624.14390579984</v>
      </c>
    </row>
    <row r="118" spans="1:8" ht="12.75" x14ac:dyDescent="0.35">
      <c r="A118" s="2">
        <v>2023</v>
      </c>
      <c r="B118" s="3" t="s">
        <v>22</v>
      </c>
      <c r="C118" s="3">
        <v>27876.755699039997</v>
      </c>
      <c r="D118" s="3">
        <v>3322640.33925144</v>
      </c>
      <c r="E118" s="3">
        <v>260476.81007951999</v>
      </c>
      <c r="F118" s="2">
        <v>4073114.5032110396</v>
      </c>
      <c r="G118">
        <v>0</v>
      </c>
      <c r="H118" s="5">
        <f t="shared" si="1"/>
        <v>750474.16395959957</v>
      </c>
    </row>
    <row r="119" spans="1:8" ht="12.75" x14ac:dyDescent="0.35">
      <c r="A119" s="2">
        <v>2022</v>
      </c>
      <c r="B119" s="3" t="s">
        <v>22</v>
      </c>
      <c r="C119" s="3">
        <v>24950.272474500001</v>
      </c>
      <c r="D119" s="3">
        <v>3404115.8190444</v>
      </c>
      <c r="E119" s="3">
        <v>258918.09393930002</v>
      </c>
      <c r="F119" s="2">
        <v>4032823.0808518501</v>
      </c>
      <c r="G119">
        <v>0</v>
      </c>
      <c r="H119" s="5">
        <f t="shared" si="1"/>
        <v>628707.26180745009</v>
      </c>
    </row>
    <row r="120" spans="1:8" ht="12.75" x14ac:dyDescent="0.35">
      <c r="A120" s="2">
        <v>2021</v>
      </c>
      <c r="B120" s="3" t="s">
        <v>22</v>
      </c>
      <c r="C120" s="3">
        <v>25452.335309939997</v>
      </c>
      <c r="D120" s="3">
        <v>3491694.0703537199</v>
      </c>
      <c r="E120" s="3">
        <v>257474.13511973998</v>
      </c>
      <c r="F120" s="2">
        <v>4549964.1103131603</v>
      </c>
      <c r="G120">
        <v>0</v>
      </c>
      <c r="H120" s="5">
        <f t="shared" si="1"/>
        <v>1058270.0399594405</v>
      </c>
    </row>
    <row r="121" spans="1:8" ht="12.75" x14ac:dyDescent="0.35">
      <c r="A121" s="2">
        <v>2020</v>
      </c>
      <c r="B121" s="3" t="s">
        <v>22</v>
      </c>
      <c r="C121" s="3">
        <v>17107.297498600001</v>
      </c>
      <c r="D121" s="3">
        <v>2859285.6212236001</v>
      </c>
      <c r="E121" s="3">
        <v>246041.01302899999</v>
      </c>
      <c r="F121" s="2">
        <v>3501659.5873764004</v>
      </c>
      <c r="G121">
        <v>0</v>
      </c>
      <c r="H121" s="5">
        <f t="shared" si="1"/>
        <v>642373.96615280025</v>
      </c>
    </row>
    <row r="122" spans="1:8" ht="12.75" x14ac:dyDescent="0.35">
      <c r="A122" s="2">
        <v>2019</v>
      </c>
      <c r="B122" s="3" t="s">
        <v>22</v>
      </c>
      <c r="C122" s="3">
        <v>19771.77910743</v>
      </c>
      <c r="D122" s="3">
        <v>2936941.4695102796</v>
      </c>
      <c r="E122" s="3">
        <v>268848.41352038999</v>
      </c>
      <c r="F122" s="2">
        <v>3433661.3388548102</v>
      </c>
      <c r="G122">
        <v>0</v>
      </c>
      <c r="H122" s="5">
        <f t="shared" si="1"/>
        <v>496719.86934453063</v>
      </c>
    </row>
    <row r="123" spans="1:8" ht="12.75" x14ac:dyDescent="0.35">
      <c r="A123" s="2">
        <v>2024</v>
      </c>
      <c r="B123" s="3" t="s">
        <v>23</v>
      </c>
      <c r="C123" s="3">
        <v>148695.58119</v>
      </c>
      <c r="D123" s="3">
        <v>5249089.4215500001</v>
      </c>
      <c r="E123" s="3">
        <v>594782.32475999999</v>
      </c>
      <c r="F123" s="2">
        <v>5834440.9246500004</v>
      </c>
      <c r="G123">
        <v>1</v>
      </c>
      <c r="H123" s="5">
        <f t="shared" si="1"/>
        <v>585351.50310000032</v>
      </c>
    </row>
    <row r="124" spans="1:8" ht="12.75" x14ac:dyDescent="0.35">
      <c r="A124" s="2">
        <v>2023</v>
      </c>
      <c r="B124" s="3" t="s">
        <v>23</v>
      </c>
      <c r="C124" s="3">
        <v>140100</v>
      </c>
      <c r="D124" s="3">
        <v>4710100.53</v>
      </c>
      <c r="E124" s="3">
        <v>560400</v>
      </c>
      <c r="F124" s="2">
        <v>5732312.3354399996</v>
      </c>
      <c r="G124">
        <v>0</v>
      </c>
      <c r="H124" s="5">
        <f t="shared" si="1"/>
        <v>1022211.8054399993</v>
      </c>
    </row>
    <row r="125" spans="1:8" ht="12.75" x14ac:dyDescent="0.35">
      <c r="A125" s="2">
        <v>2022</v>
      </c>
      <c r="B125" s="3" t="s">
        <v>23</v>
      </c>
      <c r="C125" s="3">
        <v>143966</v>
      </c>
      <c r="D125" s="3">
        <v>5973634.3096500002</v>
      </c>
      <c r="E125" s="3">
        <v>575864</v>
      </c>
      <c r="F125" s="2">
        <v>7037032.0681500006</v>
      </c>
      <c r="G125">
        <v>0</v>
      </c>
      <c r="H125" s="5">
        <f t="shared" si="1"/>
        <v>1063397.7585000005</v>
      </c>
    </row>
    <row r="126" spans="1:8" ht="12.75" x14ac:dyDescent="0.35">
      <c r="A126" s="2">
        <v>2021</v>
      </c>
      <c r="B126" s="3" t="s">
        <v>23</v>
      </c>
      <c r="C126" s="3">
        <v>136806</v>
      </c>
      <c r="D126" s="3">
        <v>4776600.8413199997</v>
      </c>
      <c r="E126" s="3">
        <v>547224</v>
      </c>
      <c r="F126" s="2">
        <v>5896327.2614399996</v>
      </c>
      <c r="G126">
        <v>0</v>
      </c>
      <c r="H126" s="5">
        <f t="shared" si="1"/>
        <v>1119726.4201199999</v>
      </c>
    </row>
    <row r="127" spans="1:8" ht="12.75" x14ac:dyDescent="0.35">
      <c r="A127" s="2">
        <v>2020</v>
      </c>
      <c r="B127" s="3" t="s">
        <v>23</v>
      </c>
      <c r="C127" s="3">
        <v>146989</v>
      </c>
      <c r="D127" s="3">
        <v>3615335.6816000002</v>
      </c>
      <c r="E127" s="3">
        <v>587956</v>
      </c>
      <c r="F127" s="2">
        <v>4511251.4674000004</v>
      </c>
      <c r="G127" s="3">
        <v>0</v>
      </c>
      <c r="H127" s="5">
        <f t="shared" si="1"/>
        <v>895915.78580000019</v>
      </c>
    </row>
    <row r="128" spans="1:8" ht="12.75" x14ac:dyDescent="0.35">
      <c r="A128" s="2">
        <v>2019</v>
      </c>
      <c r="B128" s="3" t="s">
        <v>23</v>
      </c>
      <c r="C128" s="3">
        <v>136067</v>
      </c>
      <c r="D128" s="3">
        <v>3651994.6477800002</v>
      </c>
      <c r="E128" s="3">
        <v>544268</v>
      </c>
      <c r="F128" s="2">
        <v>4696248.3181499997</v>
      </c>
      <c r="G128" s="3">
        <v>0</v>
      </c>
      <c r="H128" s="5">
        <f t="shared" si="1"/>
        <v>1044253.6703699995</v>
      </c>
    </row>
    <row r="129" spans="1:8" ht="12.75" x14ac:dyDescent="0.35">
      <c r="A129" s="2">
        <v>2018</v>
      </c>
      <c r="B129" s="3" t="s">
        <v>23</v>
      </c>
      <c r="C129" s="3">
        <v>133935</v>
      </c>
      <c r="D129" s="3">
        <v>4647805.6693400005</v>
      </c>
      <c r="E129" s="3">
        <v>535740</v>
      </c>
      <c r="F129" s="2">
        <v>6176952.6839199997</v>
      </c>
      <c r="G129" s="3">
        <v>0</v>
      </c>
      <c r="H129" s="5">
        <f t="shared" si="1"/>
        <v>1529147.0145799993</v>
      </c>
    </row>
    <row r="130" spans="1:8" ht="12.75" x14ac:dyDescent="0.35">
      <c r="A130" s="2">
        <v>2017</v>
      </c>
      <c r="B130" s="3" t="s">
        <v>23</v>
      </c>
      <c r="C130" s="3">
        <v>139476</v>
      </c>
      <c r="D130" s="3">
        <v>4800560.0941199996</v>
      </c>
      <c r="E130" s="3">
        <v>557904</v>
      </c>
      <c r="F130" s="2">
        <v>5798529.1571800001</v>
      </c>
      <c r="G130" s="3">
        <v>0</v>
      </c>
      <c r="H130" s="5">
        <f t="shared" si="1"/>
        <v>997969.06306000054</v>
      </c>
    </row>
    <row r="131" spans="1:8" ht="12.75" x14ac:dyDescent="0.35">
      <c r="A131" s="2">
        <v>2016</v>
      </c>
      <c r="B131" s="3" t="s">
        <v>23</v>
      </c>
      <c r="C131" s="3">
        <v>147190</v>
      </c>
      <c r="D131" s="3">
        <v>4745723.8613400003</v>
      </c>
      <c r="E131" s="3">
        <v>588760</v>
      </c>
      <c r="F131" s="2">
        <v>5879952.9022500003</v>
      </c>
      <c r="G131" s="3">
        <v>0</v>
      </c>
      <c r="H131" s="5">
        <f t="shared" ref="H131:H194" si="2">F131-D131</f>
        <v>1134229.04091</v>
      </c>
    </row>
    <row r="132" spans="1:8" ht="12.75" x14ac:dyDescent="0.35">
      <c r="A132" s="2">
        <v>2015</v>
      </c>
      <c r="B132" s="3" t="s">
        <v>23</v>
      </c>
      <c r="C132" s="3">
        <v>130665</v>
      </c>
      <c r="D132" s="3">
        <v>4666008.54385</v>
      </c>
      <c r="E132" s="3">
        <v>522660</v>
      </c>
      <c r="F132" s="2">
        <v>6123419.0435299994</v>
      </c>
      <c r="G132" s="3">
        <v>0</v>
      </c>
      <c r="H132" s="5">
        <f t="shared" si="2"/>
        <v>1457410.4996799994</v>
      </c>
    </row>
    <row r="133" spans="1:8" ht="12.75" x14ac:dyDescent="0.35">
      <c r="A133" s="2">
        <v>2024</v>
      </c>
      <c r="B133" s="3" t="s">
        <v>24</v>
      </c>
      <c r="C133" s="3">
        <v>18616</v>
      </c>
      <c r="D133" s="3">
        <v>141383</v>
      </c>
      <c r="E133" s="3">
        <v>132750</v>
      </c>
      <c r="F133" s="2">
        <v>344469</v>
      </c>
      <c r="G133">
        <v>1</v>
      </c>
      <c r="H133" s="5">
        <f t="shared" si="2"/>
        <v>203086</v>
      </c>
    </row>
    <row r="134" spans="1:8" ht="12.75" x14ac:dyDescent="0.35">
      <c r="A134" s="2">
        <v>2023</v>
      </c>
      <c r="B134" s="3" t="s">
        <v>24</v>
      </c>
      <c r="C134" s="3">
        <v>21631</v>
      </c>
      <c r="D134" s="3">
        <v>200388</v>
      </c>
      <c r="E134" s="3">
        <v>162358</v>
      </c>
      <c r="F134" s="2">
        <v>470700</v>
      </c>
      <c r="G134">
        <v>0</v>
      </c>
      <c r="H134" s="5">
        <f t="shared" si="2"/>
        <v>270312</v>
      </c>
    </row>
    <row r="135" spans="1:8" ht="12.75" x14ac:dyDescent="0.35">
      <c r="A135" s="2">
        <v>2022</v>
      </c>
      <c r="B135" s="3" t="s">
        <v>24</v>
      </c>
      <c r="C135" s="3">
        <v>19899</v>
      </c>
      <c r="D135" s="3">
        <v>199360</v>
      </c>
      <c r="E135" s="3">
        <v>160795</v>
      </c>
      <c r="F135" s="2">
        <v>486876</v>
      </c>
      <c r="G135">
        <v>0</v>
      </c>
      <c r="H135" s="5">
        <f t="shared" si="2"/>
        <v>287516</v>
      </c>
    </row>
    <row r="136" spans="1:8" ht="12.75" x14ac:dyDescent="0.35">
      <c r="A136" s="2">
        <v>2021</v>
      </c>
      <c r="B136" s="3" t="s">
        <v>24</v>
      </c>
      <c r="C136" s="3">
        <v>17562</v>
      </c>
      <c r="D136" s="3">
        <v>144024</v>
      </c>
      <c r="E136" s="3">
        <v>154222</v>
      </c>
      <c r="F136" s="2">
        <v>397308</v>
      </c>
      <c r="G136">
        <v>0</v>
      </c>
      <c r="H136" s="5">
        <f t="shared" si="2"/>
        <v>253284</v>
      </c>
    </row>
    <row r="137" spans="1:8" ht="12.75" x14ac:dyDescent="0.35">
      <c r="A137" s="2">
        <v>2020</v>
      </c>
      <c r="B137" s="3" t="s">
        <v>24</v>
      </c>
      <c r="C137" s="3">
        <v>12852</v>
      </c>
      <c r="D137" s="3">
        <v>109872</v>
      </c>
      <c r="E137" s="3">
        <v>134344</v>
      </c>
      <c r="F137" s="2">
        <v>349983</v>
      </c>
      <c r="G137">
        <v>0</v>
      </c>
      <c r="H137" s="5">
        <f t="shared" si="2"/>
        <v>240111</v>
      </c>
    </row>
    <row r="138" spans="1:8" ht="12.75" x14ac:dyDescent="0.35">
      <c r="A138" s="2">
        <v>2019</v>
      </c>
      <c r="B138" s="3" t="s">
        <v>24</v>
      </c>
      <c r="C138" s="3">
        <v>12913</v>
      </c>
      <c r="D138" s="3">
        <v>123026</v>
      </c>
      <c r="E138" s="3">
        <v>146981</v>
      </c>
      <c r="F138" s="2">
        <v>349579</v>
      </c>
      <c r="G138">
        <v>0</v>
      </c>
      <c r="H138" s="5">
        <f t="shared" si="2"/>
        <v>226553</v>
      </c>
    </row>
    <row r="139" spans="1:8" ht="12.75" x14ac:dyDescent="0.35">
      <c r="A139" s="2">
        <v>2018</v>
      </c>
      <c r="B139" s="3" t="s">
        <v>24</v>
      </c>
      <c r="C139" s="3">
        <v>13445</v>
      </c>
      <c r="D139" s="3">
        <v>138179</v>
      </c>
      <c r="E139" s="3">
        <v>159644</v>
      </c>
      <c r="F139" s="2">
        <v>399193</v>
      </c>
      <c r="G139">
        <v>0</v>
      </c>
      <c r="H139" s="5">
        <f t="shared" si="2"/>
        <v>261014</v>
      </c>
    </row>
    <row r="140" spans="1:8" ht="12.75" x14ac:dyDescent="0.35">
      <c r="A140" s="2">
        <v>2017</v>
      </c>
      <c r="B140" s="3" t="s">
        <v>24</v>
      </c>
      <c r="C140" s="3">
        <v>11407</v>
      </c>
      <c r="D140" s="3">
        <v>117225</v>
      </c>
      <c r="E140" s="3">
        <v>163358</v>
      </c>
      <c r="F140" s="2">
        <v>368174</v>
      </c>
      <c r="G140">
        <v>0</v>
      </c>
      <c r="H140" s="5">
        <f t="shared" si="2"/>
        <v>250949</v>
      </c>
    </row>
    <row r="141" spans="1:8" ht="12.75" x14ac:dyDescent="0.35">
      <c r="A141" s="2">
        <v>2016</v>
      </c>
      <c r="B141" s="3" t="s">
        <v>24</v>
      </c>
      <c r="C141" s="3">
        <v>8397</v>
      </c>
      <c r="D141" s="3">
        <v>96522</v>
      </c>
      <c r="E141" s="3">
        <v>119441</v>
      </c>
      <c r="F141" s="2">
        <v>340008</v>
      </c>
      <c r="G141">
        <v>0</v>
      </c>
      <c r="H141" s="5">
        <f t="shared" si="2"/>
        <v>243486</v>
      </c>
    </row>
    <row r="142" spans="1:8" ht="12.75" x14ac:dyDescent="0.35">
      <c r="A142" s="2">
        <v>2015</v>
      </c>
      <c r="B142" s="3" t="s">
        <v>24</v>
      </c>
      <c r="C142" s="3">
        <v>10798</v>
      </c>
      <c r="D142" s="3">
        <v>121174</v>
      </c>
      <c r="E142" s="3">
        <v>144294</v>
      </c>
      <c r="F142" s="2">
        <v>304390</v>
      </c>
      <c r="G142">
        <v>0</v>
      </c>
      <c r="H142" s="5">
        <f t="shared" si="2"/>
        <v>183216</v>
      </c>
    </row>
    <row r="143" spans="1:8" ht="12.75" x14ac:dyDescent="0.35">
      <c r="A143" s="2">
        <v>2024</v>
      </c>
      <c r="B143" s="3" t="s">
        <v>25</v>
      </c>
      <c r="C143" s="3">
        <v>163993</v>
      </c>
      <c r="D143" s="3">
        <v>13423897</v>
      </c>
      <c r="E143" s="3">
        <v>1551720</v>
      </c>
      <c r="F143" s="2">
        <v>17410560</v>
      </c>
      <c r="G143">
        <v>1</v>
      </c>
      <c r="H143" s="5">
        <f t="shared" si="2"/>
        <v>3986663</v>
      </c>
    </row>
    <row r="144" spans="1:8" ht="12.75" x14ac:dyDescent="0.35">
      <c r="A144" s="2">
        <v>2023</v>
      </c>
      <c r="B144" s="3" t="s">
        <v>25</v>
      </c>
      <c r="C144" s="3">
        <v>172697</v>
      </c>
      <c r="D144" s="3">
        <v>11145164</v>
      </c>
      <c r="E144" s="3">
        <v>1465069</v>
      </c>
      <c r="F144" s="2">
        <v>15317617</v>
      </c>
      <c r="G144">
        <v>0</v>
      </c>
      <c r="H144" s="5">
        <f t="shared" si="2"/>
        <v>4172453</v>
      </c>
    </row>
    <row r="145" spans="1:8" ht="12.75" x14ac:dyDescent="0.35">
      <c r="A145" s="2">
        <v>2022</v>
      </c>
      <c r="B145" s="3" t="s">
        <v>25</v>
      </c>
      <c r="C145" s="3">
        <v>132417</v>
      </c>
      <c r="D145" s="3">
        <v>12438653</v>
      </c>
      <c r="E145" s="3">
        <v>1506484</v>
      </c>
      <c r="F145" s="2">
        <v>16579960</v>
      </c>
      <c r="G145">
        <v>0</v>
      </c>
      <c r="H145" s="5">
        <f t="shared" si="2"/>
        <v>4141307</v>
      </c>
    </row>
    <row r="146" spans="1:8" ht="12.75" x14ac:dyDescent="0.35">
      <c r="A146" s="2">
        <v>2021</v>
      </c>
      <c r="B146" s="3" t="s">
        <v>25</v>
      </c>
      <c r="C146" s="3">
        <v>138032</v>
      </c>
      <c r="D146" s="3">
        <v>11556069</v>
      </c>
      <c r="E146" s="3">
        <v>1340943</v>
      </c>
      <c r="F146" s="2">
        <v>15972216</v>
      </c>
      <c r="G146">
        <v>0</v>
      </c>
      <c r="H146" s="5">
        <f t="shared" si="2"/>
        <v>4416147</v>
      </c>
    </row>
    <row r="147" spans="1:8" ht="12.75" x14ac:dyDescent="0.35">
      <c r="A147" s="2">
        <v>2020</v>
      </c>
      <c r="B147" s="3" t="s">
        <v>25</v>
      </c>
      <c r="C147" s="3">
        <v>133839</v>
      </c>
      <c r="D147" s="3">
        <v>7169430</v>
      </c>
      <c r="E147" s="3">
        <v>1246152</v>
      </c>
      <c r="F147" s="2">
        <v>10863256</v>
      </c>
      <c r="G147">
        <v>0</v>
      </c>
      <c r="H147" s="5">
        <f t="shared" si="2"/>
        <v>3693826</v>
      </c>
    </row>
    <row r="148" spans="1:8" ht="12.75" x14ac:dyDescent="0.35">
      <c r="A148" s="2">
        <v>2019</v>
      </c>
      <c r="B148" s="3" t="s">
        <v>25</v>
      </c>
      <c r="C148" s="3">
        <v>90684</v>
      </c>
      <c r="D148" s="3">
        <v>5494511</v>
      </c>
      <c r="E148" s="3">
        <v>1092271</v>
      </c>
      <c r="F148" s="2">
        <v>8533183</v>
      </c>
      <c r="G148">
        <v>0</v>
      </c>
      <c r="H148" s="5">
        <f t="shared" si="2"/>
        <v>3038672</v>
      </c>
    </row>
    <row r="149" spans="1:8" ht="12.75" x14ac:dyDescent="0.35">
      <c r="A149" s="2">
        <v>2018</v>
      </c>
      <c r="B149" s="3" t="s">
        <v>25</v>
      </c>
      <c r="C149" s="3">
        <v>99393</v>
      </c>
      <c r="D149" s="3">
        <v>5222231</v>
      </c>
      <c r="E149" s="3">
        <v>982429</v>
      </c>
      <c r="F149" s="2">
        <v>8614889</v>
      </c>
      <c r="G149">
        <v>0</v>
      </c>
      <c r="H149" s="5">
        <f t="shared" si="2"/>
        <v>3392658</v>
      </c>
    </row>
    <row r="150" spans="1:8" ht="12.75" x14ac:dyDescent="0.35">
      <c r="A150" s="2">
        <v>2017</v>
      </c>
      <c r="B150" s="3" t="s">
        <v>25</v>
      </c>
      <c r="C150" s="3">
        <v>104545</v>
      </c>
      <c r="D150" s="3">
        <v>5097931</v>
      </c>
      <c r="E150" s="3">
        <v>863477</v>
      </c>
      <c r="F150" s="2">
        <v>8974708</v>
      </c>
      <c r="G150">
        <v>0</v>
      </c>
      <c r="H150" s="5">
        <f t="shared" si="2"/>
        <v>3876777</v>
      </c>
    </row>
    <row r="151" spans="1:8" ht="12.75" x14ac:dyDescent="0.35">
      <c r="A151" s="2">
        <v>2016</v>
      </c>
      <c r="B151" s="3" t="s">
        <v>25</v>
      </c>
      <c r="C151" s="3">
        <v>77440</v>
      </c>
      <c r="D151" s="3">
        <v>5398464</v>
      </c>
      <c r="E151" s="3">
        <v>628238</v>
      </c>
      <c r="F151" s="2">
        <v>6513980</v>
      </c>
      <c r="G151">
        <v>0</v>
      </c>
      <c r="H151" s="5">
        <f t="shared" si="2"/>
        <v>1115516</v>
      </c>
    </row>
    <row r="152" spans="1:8" ht="12.75" x14ac:dyDescent="0.35">
      <c r="A152" s="2">
        <v>2015</v>
      </c>
      <c r="B152" s="3" t="s">
        <v>25</v>
      </c>
      <c r="C152" s="3">
        <v>120712</v>
      </c>
      <c r="D152" s="3">
        <v>2984107</v>
      </c>
      <c r="E152" s="3">
        <v>445709</v>
      </c>
      <c r="F152" s="2">
        <v>5331404</v>
      </c>
      <c r="G152">
        <v>0</v>
      </c>
      <c r="H152" s="5">
        <f t="shared" si="2"/>
        <v>2347297</v>
      </c>
    </row>
    <row r="153" spans="1:8" ht="12.75" x14ac:dyDescent="0.35">
      <c r="A153" s="2">
        <v>2024</v>
      </c>
      <c r="B153" s="3" t="s">
        <v>26</v>
      </c>
      <c r="C153" s="3">
        <v>145203.52931565</v>
      </c>
      <c r="D153" s="3">
        <v>2741822.6860791002</v>
      </c>
      <c r="E153" s="3">
        <v>402598.68485265004</v>
      </c>
      <c r="F153" s="2">
        <v>4025968.2976500001</v>
      </c>
      <c r="G153">
        <v>1</v>
      </c>
      <c r="H153" s="5">
        <f t="shared" si="2"/>
        <v>1284145.6115708998</v>
      </c>
    </row>
    <row r="154" spans="1:8" ht="12.75" x14ac:dyDescent="0.35">
      <c r="A154" s="2">
        <v>2023</v>
      </c>
      <c r="B154" s="3" t="s">
        <v>26</v>
      </c>
      <c r="C154" s="3">
        <v>127098.67831007998</v>
      </c>
      <c r="D154" s="3">
        <v>2416717.8342381595</v>
      </c>
      <c r="E154" s="3">
        <v>383258.98694376001</v>
      </c>
      <c r="F154" s="2">
        <v>3179418.8020799998</v>
      </c>
      <c r="G154">
        <v>0</v>
      </c>
      <c r="H154" s="5">
        <f t="shared" si="2"/>
        <v>762700.96784184035</v>
      </c>
    </row>
    <row r="155" spans="1:8" ht="12.75" x14ac:dyDescent="0.35">
      <c r="A155" s="2">
        <v>2022</v>
      </c>
      <c r="B155" s="3" t="s">
        <v>26</v>
      </c>
      <c r="C155" s="3">
        <v>55071.871562849999</v>
      </c>
      <c r="D155" s="3">
        <v>1382406.9287526</v>
      </c>
      <c r="E155" s="3">
        <v>357651.83601870004</v>
      </c>
      <c r="F155" s="2">
        <v>1918838.2176000001</v>
      </c>
      <c r="G155">
        <v>0</v>
      </c>
      <c r="H155" s="5">
        <f t="shared" si="2"/>
        <v>536431.28884740011</v>
      </c>
    </row>
    <row r="156" spans="1:8" ht="12.75" x14ac:dyDescent="0.35">
      <c r="A156" s="2">
        <v>2021</v>
      </c>
      <c r="B156" s="3" t="s">
        <v>26</v>
      </c>
      <c r="C156" s="3">
        <v>55093.736308379994</v>
      </c>
      <c r="D156" s="3">
        <v>989170.70927135996</v>
      </c>
      <c r="E156" s="3">
        <v>282246.36161105998</v>
      </c>
      <c r="F156" s="2">
        <v>1341824.79512466</v>
      </c>
      <c r="G156">
        <v>0</v>
      </c>
      <c r="H156" s="5">
        <f t="shared" si="2"/>
        <v>352654.08585330006</v>
      </c>
    </row>
    <row r="157" spans="1:8" ht="12.75" x14ac:dyDescent="0.35">
      <c r="A157" s="2">
        <v>2024</v>
      </c>
      <c r="B157" s="3" t="s">
        <v>27</v>
      </c>
      <c r="C157" s="3">
        <v>176510.68613685001</v>
      </c>
      <c r="D157" s="3">
        <v>2799722.1755431499</v>
      </c>
      <c r="E157" s="3">
        <v>1100234.17217025</v>
      </c>
      <c r="F157" s="2">
        <v>5577936.6234267</v>
      </c>
      <c r="G157">
        <v>1</v>
      </c>
      <c r="H157" s="5">
        <f t="shared" si="2"/>
        <v>2778214.4478835501</v>
      </c>
    </row>
    <row r="158" spans="1:8" ht="12.75" x14ac:dyDescent="0.35">
      <c r="A158" s="2">
        <v>2023</v>
      </c>
      <c r="B158" s="3" t="s">
        <v>27</v>
      </c>
      <c r="C158" s="3">
        <v>254788.12093151998</v>
      </c>
      <c r="D158" s="3">
        <v>4457102.3005989604</v>
      </c>
      <c r="E158" s="3">
        <v>1469706.3091927199</v>
      </c>
      <c r="F158" s="2">
        <v>7067980.0855365591</v>
      </c>
      <c r="G158">
        <v>0</v>
      </c>
      <c r="H158" s="5">
        <f t="shared" si="2"/>
        <v>2610877.7849375987</v>
      </c>
    </row>
    <row r="159" spans="1:8" ht="12.75" x14ac:dyDescent="0.35">
      <c r="A159" s="2">
        <v>2022</v>
      </c>
      <c r="B159" s="3" t="s">
        <v>27</v>
      </c>
      <c r="C159" s="3">
        <v>308946.52579649998</v>
      </c>
      <c r="D159" s="3">
        <v>7775085.7697868003</v>
      </c>
      <c r="E159" s="3">
        <v>2958135.2635440002</v>
      </c>
      <c r="F159" s="2">
        <v>14040490.838077649</v>
      </c>
      <c r="G159">
        <v>0</v>
      </c>
      <c r="H159" s="5">
        <f t="shared" si="2"/>
        <v>6265405.0682908492</v>
      </c>
    </row>
    <row r="160" spans="1:8" ht="12.75" x14ac:dyDescent="0.35">
      <c r="A160" s="2">
        <v>2021</v>
      </c>
      <c r="B160" s="3" t="s">
        <v>27</v>
      </c>
      <c r="C160" s="3">
        <v>257034.15981473998</v>
      </c>
      <c r="D160" s="3">
        <v>4876580.4862328395</v>
      </c>
      <c r="E160" s="3">
        <v>1993384.7250840599</v>
      </c>
      <c r="F160" s="2">
        <v>10327710.15757866</v>
      </c>
      <c r="G160">
        <v>0</v>
      </c>
      <c r="H160" s="5">
        <f t="shared" si="2"/>
        <v>5451129.6713458207</v>
      </c>
    </row>
    <row r="161" spans="1:8" ht="12.75" x14ac:dyDescent="0.35">
      <c r="A161" s="2">
        <v>2020</v>
      </c>
      <c r="B161" s="3" t="s">
        <v>27</v>
      </c>
      <c r="C161" s="3">
        <v>327673.36436940002</v>
      </c>
      <c r="D161" s="3">
        <v>4113728.1547079999</v>
      </c>
      <c r="E161" s="3">
        <v>1832962.1249200001</v>
      </c>
      <c r="F161" s="2">
        <v>8938979.2429552004</v>
      </c>
      <c r="G161">
        <v>0</v>
      </c>
      <c r="H161" s="5">
        <f t="shared" si="2"/>
        <v>4825251.0882472005</v>
      </c>
    </row>
    <row r="162" spans="1:8" ht="12.75" x14ac:dyDescent="0.35">
      <c r="A162" s="2">
        <v>2019</v>
      </c>
      <c r="B162" s="3" t="s">
        <v>27</v>
      </c>
      <c r="C162" s="3">
        <v>410279.41654628998</v>
      </c>
      <c r="D162" s="3">
        <v>6106175.8105254294</v>
      </c>
      <c r="E162" s="3">
        <v>2493336.3249757797</v>
      </c>
      <c r="F162" s="2">
        <v>11650724.02435275</v>
      </c>
      <c r="G162">
        <v>0</v>
      </c>
      <c r="H162" s="5">
        <f t="shared" si="2"/>
        <v>5544548.2138273204</v>
      </c>
    </row>
    <row r="163" spans="1:8" ht="12.75" x14ac:dyDescent="0.35">
      <c r="A163" s="2">
        <v>2018</v>
      </c>
      <c r="B163" s="3" t="s">
        <v>27</v>
      </c>
      <c r="C163" s="3">
        <v>400124.60016838001</v>
      </c>
      <c r="D163" s="3">
        <v>7106980.746709181</v>
      </c>
      <c r="E163" s="3">
        <v>3211747.9262466202</v>
      </c>
      <c r="F163" s="2">
        <v>12342218.875982421</v>
      </c>
      <c r="G163">
        <v>0</v>
      </c>
      <c r="H163" s="5">
        <f t="shared" si="2"/>
        <v>5235238.1292732395</v>
      </c>
    </row>
    <row r="164" spans="1:8" ht="12.75" x14ac:dyDescent="0.35">
      <c r="A164" s="2">
        <v>2024</v>
      </c>
      <c r="B164" s="3" t="s">
        <v>28</v>
      </c>
      <c r="C164" s="3">
        <v>7921</v>
      </c>
      <c r="D164" s="3">
        <v>514467</v>
      </c>
      <c r="E164" s="3">
        <v>212906</v>
      </c>
      <c r="F164" s="2">
        <v>788262</v>
      </c>
      <c r="G164">
        <v>1</v>
      </c>
      <c r="H164" s="5">
        <f t="shared" si="2"/>
        <v>273795</v>
      </c>
    </row>
    <row r="165" spans="1:8" ht="12.75" x14ac:dyDescent="0.35">
      <c r="A165" s="2">
        <v>2023</v>
      </c>
      <c r="B165" s="3" t="s">
        <v>28</v>
      </c>
      <c r="C165" s="3">
        <v>8065</v>
      </c>
      <c r="D165" s="3">
        <v>591695</v>
      </c>
      <c r="E165" s="3">
        <v>213653</v>
      </c>
      <c r="F165" s="2">
        <v>950454</v>
      </c>
      <c r="G165">
        <v>0</v>
      </c>
      <c r="H165" s="5">
        <f t="shared" si="2"/>
        <v>358759</v>
      </c>
    </row>
    <row r="166" spans="1:8" ht="12.75" x14ac:dyDescent="0.35">
      <c r="A166" s="2">
        <v>2022</v>
      </c>
      <c r="B166" s="3" t="s">
        <v>28</v>
      </c>
      <c r="C166" s="3">
        <v>10344</v>
      </c>
      <c r="D166" s="3">
        <v>903418</v>
      </c>
      <c r="E166" s="3">
        <v>252947</v>
      </c>
      <c r="F166" s="2">
        <v>1061799</v>
      </c>
      <c r="G166">
        <v>0</v>
      </c>
      <c r="H166" s="5">
        <f t="shared" si="2"/>
        <v>158381</v>
      </c>
    </row>
    <row r="167" spans="1:8" ht="12.75" x14ac:dyDescent="0.35">
      <c r="A167" s="2">
        <v>2021</v>
      </c>
      <c r="B167" s="3" t="s">
        <v>28</v>
      </c>
      <c r="C167" s="3">
        <v>9736</v>
      </c>
      <c r="D167" s="3">
        <v>893282</v>
      </c>
      <c r="E167" s="3">
        <v>232057</v>
      </c>
      <c r="F167" s="2">
        <v>1374486</v>
      </c>
      <c r="G167">
        <v>0</v>
      </c>
      <c r="H167" s="5">
        <f t="shared" si="2"/>
        <v>481204</v>
      </c>
    </row>
    <row r="168" spans="1:8" ht="12.75" x14ac:dyDescent="0.35">
      <c r="A168" s="2">
        <v>2020</v>
      </c>
      <c r="B168" s="3" t="s">
        <v>28</v>
      </c>
      <c r="C168" s="3">
        <v>9706</v>
      </c>
      <c r="D168" s="3">
        <v>606734</v>
      </c>
      <c r="E168" s="3">
        <v>215481</v>
      </c>
      <c r="F168" s="2">
        <v>1204954</v>
      </c>
      <c r="G168">
        <v>0</v>
      </c>
      <c r="H168" s="5">
        <f t="shared" si="2"/>
        <v>598220</v>
      </c>
    </row>
    <row r="169" spans="1:8" ht="12.75" x14ac:dyDescent="0.35">
      <c r="A169" s="2">
        <v>2019</v>
      </c>
      <c r="B169" s="3" t="s">
        <v>28</v>
      </c>
      <c r="C169" s="3">
        <v>11312</v>
      </c>
      <c r="D169" s="3">
        <v>659487</v>
      </c>
      <c r="E169" s="3">
        <v>241813</v>
      </c>
      <c r="F169" s="2">
        <v>1072626</v>
      </c>
      <c r="G169">
        <v>0</v>
      </c>
      <c r="H169" s="5">
        <f t="shared" si="2"/>
        <v>413139</v>
      </c>
    </row>
    <row r="170" spans="1:8" ht="12.75" x14ac:dyDescent="0.35">
      <c r="A170" s="2">
        <v>2018</v>
      </c>
      <c r="B170" s="3" t="s">
        <v>28</v>
      </c>
      <c r="C170" s="3">
        <v>14389</v>
      </c>
      <c r="D170" s="3">
        <v>873691</v>
      </c>
      <c r="E170" s="3">
        <v>346220</v>
      </c>
      <c r="F170" s="2">
        <v>1279809</v>
      </c>
      <c r="G170">
        <v>0</v>
      </c>
      <c r="H170" s="5">
        <f t="shared" si="2"/>
        <v>406118</v>
      </c>
    </row>
    <row r="171" spans="1:8" ht="12.75" x14ac:dyDescent="0.35">
      <c r="A171" s="2">
        <v>2017</v>
      </c>
      <c r="B171" s="3" t="s">
        <v>28</v>
      </c>
      <c r="C171" s="3">
        <v>16043</v>
      </c>
      <c r="D171" s="3">
        <v>857028</v>
      </c>
      <c r="E171" s="3">
        <v>372768</v>
      </c>
      <c r="F171" s="2">
        <v>1218317</v>
      </c>
      <c r="G171">
        <v>0</v>
      </c>
      <c r="H171" s="5">
        <f t="shared" si="2"/>
        <v>361289</v>
      </c>
    </row>
    <row r="172" spans="1:8" ht="12.75" x14ac:dyDescent="0.35">
      <c r="A172" s="2">
        <v>2016</v>
      </c>
      <c r="B172" s="3" t="s">
        <v>28</v>
      </c>
      <c r="C172" s="3">
        <v>13957</v>
      </c>
      <c r="D172" s="3">
        <v>680227</v>
      </c>
      <c r="E172" s="3">
        <v>268738</v>
      </c>
      <c r="F172" s="2">
        <v>978840</v>
      </c>
      <c r="G172">
        <v>0</v>
      </c>
      <c r="H172" s="5">
        <f t="shared" si="2"/>
        <v>298613</v>
      </c>
    </row>
    <row r="173" spans="1:8" ht="12.75" x14ac:dyDescent="0.35">
      <c r="A173" s="2">
        <v>2015</v>
      </c>
      <c r="B173" s="3" t="s">
        <v>28</v>
      </c>
      <c r="C173" s="3">
        <v>14808</v>
      </c>
      <c r="D173" s="3">
        <v>852036</v>
      </c>
      <c r="E173" s="3">
        <v>319516</v>
      </c>
      <c r="F173" s="2">
        <v>1251193</v>
      </c>
      <c r="G173">
        <v>0</v>
      </c>
      <c r="H173" s="5">
        <f t="shared" si="2"/>
        <v>399157</v>
      </c>
    </row>
    <row r="174" spans="1:8" ht="12.75" x14ac:dyDescent="0.35">
      <c r="A174" s="2">
        <v>2024</v>
      </c>
      <c r="B174" s="3" t="s">
        <v>29</v>
      </c>
      <c r="C174" s="3">
        <v>58160.771424600003</v>
      </c>
      <c r="D174" s="3">
        <v>2221031.86409715</v>
      </c>
      <c r="E174" s="3">
        <v>135940.56930480001</v>
      </c>
      <c r="F174" s="2">
        <v>2469140.9423772004</v>
      </c>
      <c r="G174">
        <v>1</v>
      </c>
      <c r="H174" s="5">
        <f t="shared" si="2"/>
        <v>248109.07828005031</v>
      </c>
    </row>
    <row r="175" spans="1:8" ht="12.75" x14ac:dyDescent="0.35">
      <c r="A175" s="2">
        <v>2023</v>
      </c>
      <c r="B175" s="3" t="s">
        <v>29</v>
      </c>
      <c r="C175" s="3">
        <v>61271.791280159996</v>
      </c>
      <c r="D175" s="3">
        <v>2352866.9877016796</v>
      </c>
      <c r="E175" s="3">
        <v>160612.89676656001</v>
      </c>
      <c r="F175" s="2">
        <v>2606529.0270167999</v>
      </c>
      <c r="G175">
        <v>0</v>
      </c>
      <c r="H175" s="5">
        <f t="shared" si="2"/>
        <v>253662.03931512032</v>
      </c>
    </row>
    <row r="176" spans="1:8" ht="12.75" x14ac:dyDescent="0.35">
      <c r="A176" s="2">
        <v>2022</v>
      </c>
      <c r="B176" s="3" t="s">
        <v>29</v>
      </c>
      <c r="C176" s="3">
        <v>59786.654388300005</v>
      </c>
      <c r="D176" s="3">
        <v>3344082.7462452003</v>
      </c>
      <c r="E176" s="3">
        <v>159534.52242389999</v>
      </c>
      <c r="F176" s="2">
        <v>3747318.4243163997</v>
      </c>
      <c r="G176">
        <v>0</v>
      </c>
      <c r="H176" s="5">
        <f t="shared" si="2"/>
        <v>403235.67807119945</v>
      </c>
    </row>
    <row r="177" spans="1:8" ht="12.75" x14ac:dyDescent="0.35">
      <c r="A177" s="2">
        <v>2021</v>
      </c>
      <c r="B177" s="3" t="s">
        <v>29</v>
      </c>
      <c r="C177" s="3">
        <v>63618.65489364</v>
      </c>
      <c r="D177" s="3">
        <v>2488674.5266844998</v>
      </c>
      <c r="E177" s="3">
        <v>154569.36268157998</v>
      </c>
      <c r="F177" s="2">
        <v>3015246.8157088198</v>
      </c>
      <c r="G177">
        <v>0</v>
      </c>
      <c r="H177" s="5">
        <f t="shared" si="2"/>
        <v>526572.28902431997</v>
      </c>
    </row>
    <row r="178" spans="1:8" ht="12.75" x14ac:dyDescent="0.35">
      <c r="A178" s="2">
        <v>2020</v>
      </c>
      <c r="B178" s="3" t="s">
        <v>29</v>
      </c>
      <c r="C178" s="3">
        <v>57830.672048</v>
      </c>
      <c r="D178" s="3">
        <v>1766610.6651104002</v>
      </c>
      <c r="E178" s="3">
        <v>167062.5929242</v>
      </c>
      <c r="F178" s="2">
        <v>2110479.0353819998</v>
      </c>
      <c r="G178">
        <v>0</v>
      </c>
      <c r="H178" s="5">
        <f t="shared" si="2"/>
        <v>343868.37027159962</v>
      </c>
    </row>
    <row r="179" spans="1:8" ht="12.75" x14ac:dyDescent="0.35">
      <c r="A179" s="2">
        <v>2019</v>
      </c>
      <c r="B179" s="3" t="s">
        <v>29</v>
      </c>
      <c r="C179" s="3">
        <v>69172.471736729989</v>
      </c>
      <c r="D179" s="3">
        <v>1855170.0599403898</v>
      </c>
      <c r="E179" s="3">
        <v>166484.61666045</v>
      </c>
      <c r="F179" s="2">
        <v>2307276.8506266298</v>
      </c>
      <c r="G179">
        <v>0</v>
      </c>
      <c r="H179" s="5">
        <f t="shared" si="2"/>
        <v>452106.79068623995</v>
      </c>
    </row>
    <row r="180" spans="1:8" ht="12.75" x14ac:dyDescent="0.35">
      <c r="A180" s="2">
        <v>2018</v>
      </c>
      <c r="B180" s="3" t="s">
        <v>29</v>
      </c>
      <c r="C180" s="3">
        <v>67468.645105899996</v>
      </c>
      <c r="D180" s="3">
        <v>2066880.25319708</v>
      </c>
      <c r="E180" s="3">
        <v>168741.16733512</v>
      </c>
      <c r="F180" s="2">
        <v>2322548.2040659399</v>
      </c>
      <c r="G180">
        <v>0</v>
      </c>
      <c r="H180" s="5">
        <f t="shared" si="2"/>
        <v>255667.95086885989</v>
      </c>
    </row>
    <row r="181" spans="1:8" ht="12.75" x14ac:dyDescent="0.35">
      <c r="A181" s="2">
        <v>2017</v>
      </c>
      <c r="B181" s="3" t="s">
        <v>29</v>
      </c>
      <c r="C181" s="3">
        <v>63877.968248860001</v>
      </c>
      <c r="D181" s="3">
        <v>1644997.3849637599</v>
      </c>
      <c r="E181" s="3">
        <v>143984.54164246999</v>
      </c>
      <c r="F181" s="2">
        <v>2031115.5922443501</v>
      </c>
      <c r="G181">
        <v>0</v>
      </c>
      <c r="H181" s="5">
        <f t="shared" si="2"/>
        <v>386118.2072805902</v>
      </c>
    </row>
    <row r="182" spans="1:8" ht="12.75" x14ac:dyDescent="0.35">
      <c r="A182" s="2">
        <v>2016</v>
      </c>
      <c r="B182" s="3" t="s">
        <v>29</v>
      </c>
      <c r="C182" s="3">
        <v>63779.226633569997</v>
      </c>
      <c r="D182" s="3">
        <v>1399613.1244143301</v>
      </c>
      <c r="E182" s="3">
        <v>142265.87469170999</v>
      </c>
      <c r="F182" s="2">
        <v>1752231.7273773898</v>
      </c>
      <c r="G182">
        <v>0</v>
      </c>
      <c r="H182" s="5">
        <f t="shared" si="2"/>
        <v>352618.60296305967</v>
      </c>
    </row>
    <row r="183" spans="1:8" ht="12.75" x14ac:dyDescent="0.35">
      <c r="A183" s="2">
        <v>2015</v>
      </c>
      <c r="B183" s="3" t="s">
        <v>29</v>
      </c>
      <c r="C183" s="3">
        <v>66625.396203569995</v>
      </c>
      <c r="D183" s="3">
        <v>1528638.2645616899</v>
      </c>
      <c r="E183" s="3">
        <v>136917.36183094999</v>
      </c>
      <c r="F183" s="2">
        <v>1839217.4255818999</v>
      </c>
      <c r="G183">
        <v>0</v>
      </c>
      <c r="H183" s="5">
        <f t="shared" si="2"/>
        <v>310579.16102021001</v>
      </c>
    </row>
    <row r="184" spans="1:8" ht="12.75" x14ac:dyDescent="0.35">
      <c r="A184" s="2">
        <v>2024</v>
      </c>
      <c r="B184" s="3" t="s">
        <v>30</v>
      </c>
      <c r="C184" s="3">
        <v>128121</v>
      </c>
      <c r="D184" s="3">
        <v>672870</v>
      </c>
      <c r="E184" s="3">
        <v>358615</v>
      </c>
      <c r="F184" s="2">
        <v>1475267</v>
      </c>
      <c r="G184">
        <v>1</v>
      </c>
      <c r="H184" s="5">
        <f t="shared" si="2"/>
        <v>802397</v>
      </c>
    </row>
    <row r="185" spans="1:8" ht="12.75" x14ac:dyDescent="0.35">
      <c r="A185" s="2">
        <v>2023</v>
      </c>
      <c r="B185" s="3" t="s">
        <v>30</v>
      </c>
      <c r="C185" s="3">
        <v>126658</v>
      </c>
      <c r="D185" s="3">
        <v>634937</v>
      </c>
      <c r="E185" s="3">
        <v>412109</v>
      </c>
      <c r="F185" s="2">
        <v>1465497</v>
      </c>
      <c r="G185">
        <v>0</v>
      </c>
      <c r="H185" s="5">
        <f t="shared" si="2"/>
        <v>830560</v>
      </c>
    </row>
    <row r="186" spans="1:8" ht="12.75" x14ac:dyDescent="0.35">
      <c r="A186" s="2">
        <v>2022</v>
      </c>
      <c r="B186" s="3" t="s">
        <v>30</v>
      </c>
      <c r="C186" s="3">
        <v>118132</v>
      </c>
      <c r="D186" s="3">
        <v>703453</v>
      </c>
      <c r="E186" s="3">
        <v>383179</v>
      </c>
      <c r="F186" s="2">
        <v>1422635</v>
      </c>
      <c r="G186">
        <v>0</v>
      </c>
      <c r="H186" s="5">
        <f t="shared" si="2"/>
        <v>719182</v>
      </c>
    </row>
    <row r="187" spans="1:8" ht="12.75" x14ac:dyDescent="0.35">
      <c r="A187" s="2">
        <v>2021</v>
      </c>
      <c r="B187" s="3" t="s">
        <v>30</v>
      </c>
      <c r="C187" s="3">
        <v>108315</v>
      </c>
      <c r="D187" s="3">
        <v>564097</v>
      </c>
      <c r="E187" s="3">
        <v>280073</v>
      </c>
      <c r="F187" s="2">
        <v>1181849</v>
      </c>
      <c r="G187">
        <v>0</v>
      </c>
      <c r="H187" s="5">
        <f t="shared" si="2"/>
        <v>617752</v>
      </c>
    </row>
    <row r="188" spans="1:8" ht="12.75" x14ac:dyDescent="0.35">
      <c r="A188" s="2">
        <v>2020</v>
      </c>
      <c r="B188" s="3" t="s">
        <v>30</v>
      </c>
      <c r="C188" s="3">
        <v>70580</v>
      </c>
      <c r="D188" s="3">
        <v>333988</v>
      </c>
      <c r="E188" s="3">
        <v>219346</v>
      </c>
      <c r="F188" s="2">
        <v>788873</v>
      </c>
      <c r="G188">
        <v>0</v>
      </c>
      <c r="H188" s="5">
        <f t="shared" si="2"/>
        <v>454885</v>
      </c>
    </row>
    <row r="189" spans="1:8" ht="12.75" x14ac:dyDescent="0.35">
      <c r="A189" s="2">
        <v>2019</v>
      </c>
      <c r="B189" s="3" t="s">
        <v>30</v>
      </c>
      <c r="C189" s="3">
        <v>101817</v>
      </c>
      <c r="D189" s="3">
        <v>543623</v>
      </c>
      <c r="E189" s="3">
        <v>292729</v>
      </c>
      <c r="F189" s="2">
        <v>1206818</v>
      </c>
      <c r="G189">
        <v>0</v>
      </c>
      <c r="H189" s="5">
        <f t="shared" si="2"/>
        <v>663195</v>
      </c>
    </row>
    <row r="190" spans="1:8" ht="12.75" x14ac:dyDescent="0.35">
      <c r="A190" s="2">
        <v>2018</v>
      </c>
      <c r="B190" s="3" t="s">
        <v>30</v>
      </c>
      <c r="C190" s="3">
        <v>103151</v>
      </c>
      <c r="D190" s="3">
        <v>549420</v>
      </c>
      <c r="E190" s="3">
        <v>256958</v>
      </c>
      <c r="F190" s="2">
        <v>1187195</v>
      </c>
      <c r="G190">
        <v>0</v>
      </c>
      <c r="H190" s="5">
        <f t="shared" si="2"/>
        <v>637775</v>
      </c>
    </row>
    <row r="191" spans="1:8" ht="12.75" x14ac:dyDescent="0.35">
      <c r="A191" s="2">
        <v>2017</v>
      </c>
      <c r="B191" s="3" t="s">
        <v>30</v>
      </c>
      <c r="C191" s="3">
        <v>94716</v>
      </c>
      <c r="D191" s="3">
        <v>407726</v>
      </c>
      <c r="E191" s="3">
        <v>222638</v>
      </c>
      <c r="F191" s="2">
        <v>1047701</v>
      </c>
      <c r="G191">
        <v>0</v>
      </c>
      <c r="H191" s="5">
        <f t="shared" si="2"/>
        <v>639975</v>
      </c>
    </row>
    <row r="192" spans="1:8" ht="12.75" x14ac:dyDescent="0.35">
      <c r="A192" s="2">
        <v>2016</v>
      </c>
      <c r="B192" s="3" t="s">
        <v>30</v>
      </c>
      <c r="C192" s="3">
        <v>94682</v>
      </c>
      <c r="D192" s="3">
        <v>381975</v>
      </c>
      <c r="E192" s="3">
        <v>253979</v>
      </c>
      <c r="F192" s="2">
        <v>1051069</v>
      </c>
      <c r="G192">
        <v>0</v>
      </c>
      <c r="H192" s="5">
        <f t="shared" si="2"/>
        <v>669094</v>
      </c>
    </row>
    <row r="193" spans="1:8" ht="12.75" x14ac:dyDescent="0.35">
      <c r="A193" s="2">
        <v>2015</v>
      </c>
      <c r="B193" s="3" t="s">
        <v>30</v>
      </c>
      <c r="C193" s="3">
        <v>74903</v>
      </c>
      <c r="D193" s="3">
        <v>293962</v>
      </c>
      <c r="E193" s="3">
        <v>201683</v>
      </c>
      <c r="F193" s="2">
        <v>837877</v>
      </c>
      <c r="G193">
        <v>0</v>
      </c>
      <c r="H193" s="5">
        <f t="shared" si="2"/>
        <v>543915</v>
      </c>
    </row>
    <row r="194" spans="1:8" ht="12.75" x14ac:dyDescent="0.35">
      <c r="A194" s="2">
        <v>2024</v>
      </c>
      <c r="B194" s="3" t="s">
        <v>31</v>
      </c>
      <c r="C194" s="3">
        <v>31133</v>
      </c>
      <c r="D194" s="3">
        <v>1808349</v>
      </c>
      <c r="E194" s="3">
        <v>155115</v>
      </c>
      <c r="F194" s="2">
        <v>2594518</v>
      </c>
      <c r="G194">
        <v>1</v>
      </c>
      <c r="H194" s="5">
        <f t="shared" si="2"/>
        <v>786169</v>
      </c>
    </row>
    <row r="195" spans="1:8" ht="12.75" x14ac:dyDescent="0.35">
      <c r="A195" s="2">
        <v>2023</v>
      </c>
      <c r="B195" s="3" t="s">
        <v>31</v>
      </c>
      <c r="C195" s="3">
        <v>24454</v>
      </c>
      <c r="D195" s="3">
        <v>1823057</v>
      </c>
      <c r="E195" s="3">
        <v>141062</v>
      </c>
      <c r="F195" s="2">
        <v>2524984</v>
      </c>
      <c r="G195">
        <v>0</v>
      </c>
      <c r="H195" s="5">
        <f t="shared" ref="H195:H258" si="3">F195-D195</f>
        <v>701927</v>
      </c>
    </row>
    <row r="196" spans="1:8" ht="12.75" x14ac:dyDescent="0.35">
      <c r="A196" s="2">
        <v>2022</v>
      </c>
      <c r="B196" s="3" t="s">
        <v>31</v>
      </c>
      <c r="C196" s="3">
        <v>25113</v>
      </c>
      <c r="D196" s="3">
        <v>2011265</v>
      </c>
      <c r="E196" s="3">
        <v>132555</v>
      </c>
      <c r="F196" s="2">
        <v>2594505</v>
      </c>
      <c r="G196">
        <v>0</v>
      </c>
      <c r="H196" s="5">
        <f t="shared" si="3"/>
        <v>583240</v>
      </c>
    </row>
    <row r="197" spans="1:8" ht="12.75" x14ac:dyDescent="0.35">
      <c r="A197" s="2">
        <v>2021</v>
      </c>
      <c r="B197" s="3" t="s">
        <v>31</v>
      </c>
      <c r="C197" s="3">
        <v>26946</v>
      </c>
      <c r="D197" s="3">
        <v>1452176</v>
      </c>
      <c r="E197" s="3">
        <v>177540</v>
      </c>
      <c r="F197" s="2">
        <v>1672251</v>
      </c>
      <c r="G197">
        <v>0</v>
      </c>
      <c r="H197" s="5">
        <f t="shared" si="3"/>
        <v>220075</v>
      </c>
    </row>
    <row r="198" spans="1:8" ht="12.75" x14ac:dyDescent="0.35">
      <c r="A198" s="2">
        <v>2020</v>
      </c>
      <c r="B198" s="3" t="s">
        <v>31</v>
      </c>
      <c r="C198" s="3">
        <v>28364</v>
      </c>
      <c r="D198" s="3">
        <v>1123527</v>
      </c>
      <c r="E198" s="3">
        <v>135034</v>
      </c>
      <c r="F198" s="2">
        <v>1331775</v>
      </c>
      <c r="G198">
        <v>0</v>
      </c>
      <c r="H198" s="5">
        <f t="shared" si="3"/>
        <v>208248</v>
      </c>
    </row>
    <row r="199" spans="1:8" ht="12.75" x14ac:dyDescent="0.35">
      <c r="A199" s="2">
        <v>2019</v>
      </c>
      <c r="B199" s="3" t="s">
        <v>31</v>
      </c>
      <c r="C199" s="3">
        <v>32168</v>
      </c>
      <c r="D199" s="3">
        <v>1592577</v>
      </c>
      <c r="E199" s="3">
        <v>148115</v>
      </c>
      <c r="F199" s="2">
        <v>1852767</v>
      </c>
      <c r="G199">
        <v>0</v>
      </c>
      <c r="H199" s="5">
        <f t="shared" si="3"/>
        <v>260190</v>
      </c>
    </row>
    <row r="200" spans="1:8" ht="12.75" x14ac:dyDescent="0.35">
      <c r="A200" s="2">
        <v>2018</v>
      </c>
      <c r="B200" s="3" t="s">
        <v>31</v>
      </c>
      <c r="C200" s="3">
        <v>28816</v>
      </c>
      <c r="D200" s="3">
        <v>1395588</v>
      </c>
      <c r="E200" s="3">
        <v>131682</v>
      </c>
      <c r="F200" s="2">
        <v>1556288</v>
      </c>
      <c r="G200">
        <v>0</v>
      </c>
      <c r="H200" s="5">
        <f t="shared" si="3"/>
        <v>160700</v>
      </c>
    </row>
    <row r="201" spans="1:8" ht="12.75" x14ac:dyDescent="0.35">
      <c r="A201" s="2">
        <v>2017</v>
      </c>
      <c r="B201" s="3" t="s">
        <v>31</v>
      </c>
      <c r="C201" s="3">
        <v>28066</v>
      </c>
      <c r="D201" s="3">
        <v>1134576</v>
      </c>
      <c r="E201" s="3">
        <v>124445</v>
      </c>
      <c r="F201" s="2">
        <v>1404064</v>
      </c>
      <c r="G201">
        <v>0</v>
      </c>
      <c r="H201" s="5">
        <f t="shared" si="3"/>
        <v>269488</v>
      </c>
    </row>
    <row r="202" spans="1:8" ht="12.75" x14ac:dyDescent="0.35">
      <c r="A202" s="2">
        <v>2016</v>
      </c>
      <c r="B202" s="2" t="s">
        <v>31</v>
      </c>
      <c r="C202" s="3">
        <v>17075</v>
      </c>
      <c r="D202" s="3">
        <v>541917</v>
      </c>
      <c r="E202" s="3">
        <v>85689</v>
      </c>
      <c r="F202" s="2">
        <v>757282</v>
      </c>
      <c r="G202">
        <v>0</v>
      </c>
      <c r="H202" s="5">
        <f t="shared" si="3"/>
        <v>215365</v>
      </c>
    </row>
    <row r="203" spans="1:8" ht="12.75" x14ac:dyDescent="0.35">
      <c r="A203" s="2">
        <v>2015</v>
      </c>
      <c r="B203" s="2" t="s">
        <v>31</v>
      </c>
      <c r="C203" s="3">
        <v>16427</v>
      </c>
      <c r="D203" s="3">
        <v>684861</v>
      </c>
      <c r="E203" s="3">
        <v>95634</v>
      </c>
      <c r="F203" s="2">
        <v>913792</v>
      </c>
      <c r="G203">
        <v>0</v>
      </c>
      <c r="H203" s="5">
        <f t="shared" si="3"/>
        <v>228931</v>
      </c>
    </row>
    <row r="204" spans="1:8" ht="12.75" x14ac:dyDescent="0.35">
      <c r="A204" s="2">
        <v>2024</v>
      </c>
      <c r="B204" s="3" t="s">
        <v>32</v>
      </c>
      <c r="C204" s="3">
        <v>4404</v>
      </c>
      <c r="D204" s="3">
        <v>63430</v>
      </c>
      <c r="E204" s="3">
        <v>18072</v>
      </c>
      <c r="F204" s="2">
        <v>128025</v>
      </c>
      <c r="G204">
        <v>1</v>
      </c>
      <c r="H204" s="5">
        <f t="shared" si="3"/>
        <v>64595</v>
      </c>
    </row>
    <row r="205" spans="1:8" ht="12.75" x14ac:dyDescent="0.35">
      <c r="A205" s="2">
        <v>2023</v>
      </c>
      <c r="B205" s="3" t="s">
        <v>32</v>
      </c>
      <c r="C205" s="3">
        <v>4353</v>
      </c>
      <c r="D205" s="3">
        <v>62966</v>
      </c>
      <c r="E205" s="3">
        <v>16955</v>
      </c>
      <c r="F205" s="2">
        <v>139549</v>
      </c>
      <c r="G205">
        <v>0</v>
      </c>
      <c r="H205" s="5">
        <f t="shared" si="3"/>
        <v>76583</v>
      </c>
    </row>
    <row r="206" spans="1:8" ht="12.75" x14ac:dyDescent="0.35">
      <c r="A206" s="2">
        <v>2022</v>
      </c>
      <c r="B206" s="3" t="s">
        <v>32</v>
      </c>
      <c r="C206" s="3">
        <v>4207</v>
      </c>
      <c r="D206" s="3">
        <v>64690</v>
      </c>
      <c r="E206" s="3">
        <v>17141</v>
      </c>
      <c r="F206" s="2">
        <v>152170</v>
      </c>
      <c r="G206">
        <v>0</v>
      </c>
      <c r="H206" s="5">
        <f t="shared" si="3"/>
        <v>87480</v>
      </c>
    </row>
    <row r="207" spans="1:8" ht="12.75" x14ac:dyDescent="0.35">
      <c r="A207" s="2">
        <v>2021</v>
      </c>
      <c r="B207" s="3" t="s">
        <v>32</v>
      </c>
      <c r="C207" s="3">
        <v>3587</v>
      </c>
      <c r="D207" s="3">
        <v>47699</v>
      </c>
      <c r="E207" s="3">
        <v>13834</v>
      </c>
      <c r="F207" s="2">
        <v>112730</v>
      </c>
      <c r="G207">
        <v>0</v>
      </c>
      <c r="H207" s="5">
        <f t="shared" si="3"/>
        <v>65031</v>
      </c>
    </row>
    <row r="208" spans="1:8" ht="12.75" x14ac:dyDescent="0.35">
      <c r="A208" s="2">
        <v>2020</v>
      </c>
      <c r="B208" s="3" t="s">
        <v>32</v>
      </c>
      <c r="C208" s="3">
        <v>4214</v>
      </c>
      <c r="D208" s="3">
        <v>50888</v>
      </c>
      <c r="E208" s="3">
        <v>13620</v>
      </c>
      <c r="F208" s="2">
        <v>113551</v>
      </c>
      <c r="G208">
        <v>0</v>
      </c>
      <c r="H208" s="5">
        <f t="shared" si="3"/>
        <v>62663</v>
      </c>
    </row>
    <row r="209" spans="1:8" ht="12.75" x14ac:dyDescent="0.35">
      <c r="A209" s="2">
        <v>2019</v>
      </c>
      <c r="B209" s="3" t="s">
        <v>32</v>
      </c>
      <c r="C209" s="3">
        <v>4171</v>
      </c>
      <c r="D209" s="3">
        <v>52679</v>
      </c>
      <c r="E209" s="3">
        <v>15279</v>
      </c>
      <c r="F209" s="2">
        <v>122325</v>
      </c>
      <c r="G209">
        <v>0</v>
      </c>
      <c r="H209" s="5">
        <f t="shared" si="3"/>
        <v>69646</v>
      </c>
    </row>
    <row r="210" spans="1:8" ht="12.75" x14ac:dyDescent="0.35">
      <c r="A210" s="2">
        <v>2018</v>
      </c>
      <c r="B210" s="3" t="s">
        <v>32</v>
      </c>
      <c r="C210" s="3">
        <v>4152</v>
      </c>
      <c r="D210" s="3">
        <v>53363</v>
      </c>
      <c r="E210" s="3">
        <v>12972</v>
      </c>
      <c r="F210" s="2">
        <v>117489</v>
      </c>
      <c r="G210">
        <v>0</v>
      </c>
      <c r="H210" s="5">
        <f t="shared" si="3"/>
        <v>64126</v>
      </c>
    </row>
    <row r="211" spans="1:8" ht="12.75" x14ac:dyDescent="0.35">
      <c r="A211" s="2">
        <v>2017</v>
      </c>
      <c r="B211" s="3" t="s">
        <v>32</v>
      </c>
      <c r="C211" s="3">
        <v>3852</v>
      </c>
      <c r="D211" s="3">
        <v>36753</v>
      </c>
      <c r="E211" s="3">
        <v>11474</v>
      </c>
      <c r="F211" s="2">
        <v>88010</v>
      </c>
      <c r="G211">
        <v>0</v>
      </c>
      <c r="H211" s="5">
        <f t="shared" si="3"/>
        <v>51257</v>
      </c>
    </row>
    <row r="212" spans="1:8" ht="12.75" x14ac:dyDescent="0.35">
      <c r="A212" s="2">
        <v>2016</v>
      </c>
      <c r="B212" s="3" t="s">
        <v>32</v>
      </c>
      <c r="C212" s="3">
        <v>2701</v>
      </c>
      <c r="D212" s="3">
        <v>35203</v>
      </c>
      <c r="E212" s="3">
        <v>10091</v>
      </c>
      <c r="F212" s="2">
        <v>62760</v>
      </c>
      <c r="G212">
        <v>0</v>
      </c>
      <c r="H212" s="5">
        <f t="shared" si="3"/>
        <v>27557</v>
      </c>
    </row>
    <row r="213" spans="1:8" ht="12.75" x14ac:dyDescent="0.35">
      <c r="A213" s="2">
        <v>2015</v>
      </c>
      <c r="B213" s="3" t="s">
        <v>32</v>
      </c>
      <c r="C213" s="3">
        <v>2538</v>
      </c>
      <c r="D213" s="3">
        <v>49124</v>
      </c>
      <c r="E213" s="3">
        <v>11707</v>
      </c>
      <c r="F213" s="2">
        <v>67679</v>
      </c>
      <c r="G213">
        <v>0</v>
      </c>
      <c r="H213" s="5">
        <f t="shared" si="3"/>
        <v>18555</v>
      </c>
    </row>
    <row r="214" spans="1:8" ht="12.75" x14ac:dyDescent="0.35">
      <c r="A214" s="4">
        <v>2024</v>
      </c>
      <c r="B214" s="3" t="s">
        <v>33</v>
      </c>
      <c r="C214" s="3">
        <v>109074</v>
      </c>
      <c r="D214" s="3">
        <v>4713599</v>
      </c>
      <c r="E214" s="3">
        <v>478931</v>
      </c>
      <c r="F214" s="4">
        <v>6118364</v>
      </c>
      <c r="G214">
        <v>1</v>
      </c>
      <c r="H214" s="5">
        <f t="shared" si="3"/>
        <v>1404765</v>
      </c>
    </row>
    <row r="215" spans="1:8" ht="12.75" x14ac:dyDescent="0.35">
      <c r="A215" s="4">
        <v>2023</v>
      </c>
      <c r="B215" s="3" t="s">
        <v>33</v>
      </c>
      <c r="C215" s="3">
        <v>96681</v>
      </c>
      <c r="D215" s="3">
        <v>4788301</v>
      </c>
      <c r="E215" s="3">
        <v>462891</v>
      </c>
      <c r="F215" s="4">
        <v>6455329</v>
      </c>
      <c r="G215">
        <v>0</v>
      </c>
      <c r="H215" s="5">
        <f t="shared" si="3"/>
        <v>1667028</v>
      </c>
    </row>
    <row r="216" spans="1:8" ht="12.75" x14ac:dyDescent="0.35">
      <c r="A216" s="4">
        <v>2022</v>
      </c>
      <c r="B216" s="3" t="s">
        <v>33</v>
      </c>
      <c r="C216" s="3">
        <v>92747</v>
      </c>
      <c r="D216" s="3">
        <v>4885136</v>
      </c>
      <c r="E216" s="3">
        <v>402684</v>
      </c>
      <c r="F216" s="4">
        <v>6255945</v>
      </c>
      <c r="G216">
        <v>0</v>
      </c>
      <c r="H216" s="5">
        <f t="shared" si="3"/>
        <v>1370809</v>
      </c>
    </row>
    <row r="217" spans="1:8" ht="12.75" x14ac:dyDescent="0.35">
      <c r="A217" s="4">
        <v>2021</v>
      </c>
      <c r="B217" s="3" t="s">
        <v>33</v>
      </c>
      <c r="C217" s="3">
        <v>85737</v>
      </c>
      <c r="D217" s="3">
        <v>4108394</v>
      </c>
      <c r="E217" s="3">
        <v>395177</v>
      </c>
      <c r="F217" s="4">
        <v>5378808</v>
      </c>
      <c r="G217">
        <v>0</v>
      </c>
      <c r="H217" s="5">
        <f t="shared" si="3"/>
        <v>1270414</v>
      </c>
    </row>
    <row r="218" spans="1:8" ht="12.75" x14ac:dyDescent="0.35">
      <c r="A218" s="4">
        <v>2020</v>
      </c>
      <c r="B218" s="3" t="s">
        <v>33</v>
      </c>
      <c r="C218" s="3">
        <v>73850</v>
      </c>
      <c r="D218" s="3">
        <v>2709593</v>
      </c>
      <c r="E218" s="3">
        <v>355363</v>
      </c>
      <c r="F218" s="4">
        <v>3775530</v>
      </c>
      <c r="G218">
        <v>0</v>
      </c>
      <c r="H218" s="5">
        <f t="shared" si="3"/>
        <v>1065937</v>
      </c>
    </row>
    <row r="219" spans="1:8" ht="12.75" x14ac:dyDescent="0.35">
      <c r="A219" s="4">
        <v>2019</v>
      </c>
      <c r="B219" s="3" t="s">
        <v>33</v>
      </c>
      <c r="C219" s="3">
        <v>81712</v>
      </c>
      <c r="D219" s="3">
        <v>3659288</v>
      </c>
      <c r="E219" s="3">
        <v>379827</v>
      </c>
      <c r="F219" s="4">
        <v>4885875</v>
      </c>
      <c r="G219">
        <v>0</v>
      </c>
      <c r="H219" s="5">
        <f t="shared" si="3"/>
        <v>1226587</v>
      </c>
    </row>
    <row r="220" spans="1:8" ht="12.75" x14ac:dyDescent="0.35">
      <c r="A220" s="4">
        <v>2018</v>
      </c>
      <c r="B220" s="3" t="s">
        <v>33</v>
      </c>
      <c r="C220" s="3">
        <v>81361</v>
      </c>
      <c r="D220" s="3">
        <v>3629561</v>
      </c>
      <c r="E220" s="3">
        <v>371790</v>
      </c>
      <c r="F220" s="4">
        <v>4467590</v>
      </c>
      <c r="G220">
        <v>0</v>
      </c>
      <c r="H220" s="5">
        <f t="shared" si="3"/>
        <v>838029</v>
      </c>
    </row>
    <row r="221" spans="1:8" ht="12.75" x14ac:dyDescent="0.35">
      <c r="A221" s="4">
        <v>2017</v>
      </c>
      <c r="B221" s="3" t="s">
        <v>33</v>
      </c>
      <c r="C221" s="3">
        <v>69129</v>
      </c>
      <c r="D221" s="3">
        <v>2644488</v>
      </c>
      <c r="E221" s="3">
        <v>348738</v>
      </c>
      <c r="F221" s="4">
        <v>3662810</v>
      </c>
      <c r="G221">
        <v>0</v>
      </c>
      <c r="H221" s="5">
        <f t="shared" si="3"/>
        <v>1018322</v>
      </c>
    </row>
    <row r="222" spans="1:8" ht="12.75" x14ac:dyDescent="0.35">
      <c r="A222" s="4">
        <v>2016</v>
      </c>
      <c r="B222" s="3" t="s">
        <v>33</v>
      </c>
      <c r="C222" s="3">
        <v>70743</v>
      </c>
      <c r="D222" s="3">
        <v>2375736</v>
      </c>
      <c r="E222" s="3">
        <v>370035</v>
      </c>
      <c r="F222" s="4">
        <v>3359200</v>
      </c>
      <c r="G222">
        <v>0</v>
      </c>
      <c r="H222" s="5">
        <f t="shared" si="3"/>
        <v>983464</v>
      </c>
    </row>
    <row r="223" spans="1:8" ht="12.75" x14ac:dyDescent="0.35">
      <c r="A223" s="4">
        <v>2015</v>
      </c>
      <c r="B223" s="3" t="s">
        <v>33</v>
      </c>
      <c r="C223" s="3">
        <v>61282</v>
      </c>
      <c r="D223" s="3">
        <v>2600423</v>
      </c>
      <c r="E223" s="3">
        <v>208469</v>
      </c>
      <c r="F223" s="4">
        <v>3583541</v>
      </c>
      <c r="G223">
        <v>0</v>
      </c>
      <c r="H223" s="5">
        <f t="shared" si="3"/>
        <v>983118</v>
      </c>
    </row>
    <row r="224" spans="1:8" ht="12.75" x14ac:dyDescent="0.35">
      <c r="A224" s="4">
        <v>2024</v>
      </c>
      <c r="B224" s="3" t="s">
        <v>34</v>
      </c>
      <c r="C224" s="3">
        <v>132911</v>
      </c>
      <c r="D224" s="3">
        <v>225571</v>
      </c>
      <c r="E224" s="3">
        <v>98191</v>
      </c>
      <c r="F224" s="4">
        <v>909986</v>
      </c>
      <c r="G224">
        <v>1</v>
      </c>
      <c r="H224" s="5">
        <f t="shared" si="3"/>
        <v>684415</v>
      </c>
    </row>
    <row r="225" spans="1:8" ht="12.75" x14ac:dyDescent="0.35">
      <c r="A225" s="4">
        <v>2023</v>
      </c>
      <c r="B225" s="3" t="s">
        <v>34</v>
      </c>
      <c r="C225" s="3">
        <v>67762</v>
      </c>
      <c r="D225" s="3">
        <v>174989</v>
      </c>
      <c r="E225" s="3">
        <v>57512</v>
      </c>
      <c r="F225" s="4">
        <v>559468</v>
      </c>
      <c r="G225">
        <v>0</v>
      </c>
      <c r="H225" s="5">
        <f t="shared" si="3"/>
        <v>384479</v>
      </c>
    </row>
    <row r="226" spans="1:8" ht="12.75" x14ac:dyDescent="0.35">
      <c r="A226" s="4">
        <v>2022</v>
      </c>
      <c r="B226" s="3" t="s">
        <v>34</v>
      </c>
      <c r="C226" s="3">
        <v>109641</v>
      </c>
      <c r="D226" s="3">
        <v>177732</v>
      </c>
      <c r="E226" s="3">
        <v>93070</v>
      </c>
      <c r="F226" s="4">
        <v>823656</v>
      </c>
      <c r="G226">
        <v>0</v>
      </c>
      <c r="H226" s="5">
        <f t="shared" si="3"/>
        <v>645924</v>
      </c>
    </row>
    <row r="227" spans="1:8" ht="12.75" x14ac:dyDescent="0.35">
      <c r="A227" s="4">
        <v>2021</v>
      </c>
      <c r="B227" s="3" t="s">
        <v>34</v>
      </c>
      <c r="C227" s="3">
        <v>180557</v>
      </c>
      <c r="D227" s="3">
        <v>296193</v>
      </c>
      <c r="E227" s="3">
        <v>123967</v>
      </c>
      <c r="F227" s="4">
        <v>1191506</v>
      </c>
      <c r="G227">
        <v>0</v>
      </c>
      <c r="H227" s="5">
        <f t="shared" si="3"/>
        <v>895313</v>
      </c>
    </row>
    <row r="228" spans="1:8" ht="12.75" x14ac:dyDescent="0.35">
      <c r="A228" s="4">
        <v>2020</v>
      </c>
      <c r="B228" s="3" t="s">
        <v>34</v>
      </c>
      <c r="C228" s="3">
        <v>71390</v>
      </c>
      <c r="D228" s="3">
        <v>199379</v>
      </c>
      <c r="E228" s="3">
        <v>64021</v>
      </c>
      <c r="F228" s="4">
        <v>565439</v>
      </c>
      <c r="G228">
        <v>0</v>
      </c>
      <c r="H228" s="5">
        <f t="shared" si="3"/>
        <v>366060</v>
      </c>
    </row>
    <row r="229" spans="1:8" ht="12.75" x14ac:dyDescent="0.35">
      <c r="A229" s="4">
        <v>2019</v>
      </c>
      <c r="B229" s="3" t="s">
        <v>34</v>
      </c>
      <c r="C229" s="3">
        <v>57973</v>
      </c>
      <c r="D229" s="3">
        <v>97000</v>
      </c>
      <c r="E229" s="3">
        <v>54668</v>
      </c>
      <c r="F229" s="4">
        <v>361544</v>
      </c>
      <c r="G229">
        <v>0</v>
      </c>
      <c r="H229" s="5">
        <f t="shared" si="3"/>
        <v>264544</v>
      </c>
    </row>
    <row r="230" spans="1:8" ht="12.75" x14ac:dyDescent="0.35">
      <c r="A230" s="4">
        <v>2018</v>
      </c>
      <c r="B230" s="3" t="s">
        <v>34</v>
      </c>
      <c r="C230" s="3">
        <v>44766</v>
      </c>
      <c r="D230" s="3">
        <v>120833</v>
      </c>
      <c r="E230" s="3">
        <v>49189</v>
      </c>
      <c r="F230" s="4">
        <v>352472</v>
      </c>
      <c r="G230">
        <v>0</v>
      </c>
      <c r="H230" s="5">
        <f t="shared" si="3"/>
        <v>231639</v>
      </c>
    </row>
    <row r="231" spans="1:8" ht="12.75" x14ac:dyDescent="0.35">
      <c r="A231" s="4">
        <v>2017</v>
      </c>
      <c r="B231" s="3" t="s">
        <v>34</v>
      </c>
      <c r="C231" s="3">
        <v>35585</v>
      </c>
      <c r="D231" s="3">
        <v>74647</v>
      </c>
      <c r="E231" s="3">
        <v>42943</v>
      </c>
      <c r="F231" s="4">
        <v>239786</v>
      </c>
      <c r="G231">
        <v>0</v>
      </c>
      <c r="H231" s="5">
        <f t="shared" si="3"/>
        <v>165139</v>
      </c>
    </row>
    <row r="232" spans="1:8" ht="12.75" x14ac:dyDescent="0.35">
      <c r="A232" s="4">
        <v>2016</v>
      </c>
      <c r="B232" s="3" t="s">
        <v>34</v>
      </c>
      <c r="C232" s="3">
        <v>25412</v>
      </c>
      <c r="D232" s="3">
        <v>101596</v>
      </c>
      <c r="E232" s="3">
        <v>34225</v>
      </c>
      <c r="F232" s="4">
        <v>207224</v>
      </c>
      <c r="G232">
        <v>0</v>
      </c>
      <c r="H232" s="5">
        <f t="shared" si="3"/>
        <v>105628</v>
      </c>
    </row>
    <row r="233" spans="1:8" ht="12.75" x14ac:dyDescent="0.35">
      <c r="A233" s="4">
        <v>2024</v>
      </c>
      <c r="B233" s="3" t="s">
        <v>35</v>
      </c>
      <c r="C233" s="3">
        <v>61688</v>
      </c>
      <c r="D233" s="3">
        <v>169056</v>
      </c>
      <c r="E233" s="3">
        <v>340519</v>
      </c>
      <c r="F233" s="4">
        <v>591934</v>
      </c>
      <c r="G233">
        <v>1</v>
      </c>
      <c r="H233" s="5">
        <f t="shared" si="3"/>
        <v>422878</v>
      </c>
    </row>
    <row r="234" spans="1:8" ht="12.75" x14ac:dyDescent="0.35">
      <c r="A234" s="4">
        <v>2023</v>
      </c>
      <c r="B234" s="3" t="s">
        <v>35</v>
      </c>
      <c r="C234" s="3">
        <v>59370</v>
      </c>
      <c r="D234" s="3">
        <v>170714</v>
      </c>
      <c r="E234" s="3">
        <v>347855</v>
      </c>
      <c r="F234" s="4">
        <v>562621</v>
      </c>
      <c r="G234">
        <v>0</v>
      </c>
      <c r="H234" s="5">
        <f t="shared" si="3"/>
        <v>391907</v>
      </c>
    </row>
    <row r="235" spans="1:8" ht="12.75" x14ac:dyDescent="0.35">
      <c r="A235" s="4">
        <v>2022</v>
      </c>
      <c r="B235" s="3" t="s">
        <v>35</v>
      </c>
      <c r="C235" s="3">
        <v>60055</v>
      </c>
      <c r="D235" s="3">
        <v>182810</v>
      </c>
      <c r="E235" s="3">
        <v>372887</v>
      </c>
      <c r="F235" s="4">
        <v>647952</v>
      </c>
      <c r="G235">
        <v>0</v>
      </c>
      <c r="H235" s="5">
        <f t="shared" si="3"/>
        <v>465142</v>
      </c>
    </row>
    <row r="236" spans="1:8" ht="12.75" x14ac:dyDescent="0.35">
      <c r="A236" s="4">
        <v>2021</v>
      </c>
      <c r="B236" s="3" t="s">
        <v>35</v>
      </c>
      <c r="C236" s="3">
        <v>55730</v>
      </c>
      <c r="D236" s="3">
        <v>146916</v>
      </c>
      <c r="E236" s="3">
        <v>330150</v>
      </c>
      <c r="F236" s="4">
        <v>552465</v>
      </c>
      <c r="G236">
        <v>0</v>
      </c>
      <c r="H236" s="5">
        <f t="shared" si="3"/>
        <v>405549</v>
      </c>
    </row>
    <row r="237" spans="1:8" ht="12.75" x14ac:dyDescent="0.35">
      <c r="A237" s="4">
        <v>2020</v>
      </c>
      <c r="B237" s="3" t="s">
        <v>35</v>
      </c>
      <c r="C237" s="3">
        <v>51159</v>
      </c>
      <c r="D237" s="3">
        <v>108032</v>
      </c>
      <c r="E237" s="3">
        <v>292884</v>
      </c>
      <c r="F237" s="4">
        <v>437171</v>
      </c>
      <c r="G237">
        <v>0</v>
      </c>
      <c r="H237" s="5">
        <f t="shared" si="3"/>
        <v>329139</v>
      </c>
    </row>
    <row r="238" spans="1:8" ht="12.75" x14ac:dyDescent="0.35">
      <c r="A238" s="4">
        <v>2019</v>
      </c>
      <c r="B238" s="3" t="s">
        <v>35</v>
      </c>
      <c r="C238" s="3">
        <v>112882</v>
      </c>
      <c r="D238" s="3">
        <v>194722</v>
      </c>
      <c r="E238" s="3">
        <v>484668</v>
      </c>
      <c r="F238" s="4">
        <v>735066</v>
      </c>
      <c r="G238">
        <v>0</v>
      </c>
      <c r="H238" s="5">
        <f t="shared" si="3"/>
        <v>540344</v>
      </c>
    </row>
    <row r="239" spans="1:8" ht="12.75" x14ac:dyDescent="0.35">
      <c r="A239" s="4">
        <v>2018</v>
      </c>
      <c r="B239" s="3" t="s">
        <v>35</v>
      </c>
      <c r="C239" s="3">
        <v>112302</v>
      </c>
      <c r="D239" s="3">
        <v>230369</v>
      </c>
      <c r="E239" s="3">
        <v>535173</v>
      </c>
      <c r="F239" s="4">
        <v>875963</v>
      </c>
      <c r="G239">
        <v>0</v>
      </c>
      <c r="H239" s="5">
        <f t="shared" si="3"/>
        <v>645594</v>
      </c>
    </row>
    <row r="240" spans="1:8" ht="12.75" x14ac:dyDescent="0.35">
      <c r="A240" s="4">
        <v>2024</v>
      </c>
      <c r="B240" s="3" t="s">
        <v>36</v>
      </c>
      <c r="C240" s="3">
        <v>19155</v>
      </c>
      <c r="D240" s="3">
        <v>82798</v>
      </c>
      <c r="E240" s="3">
        <v>146664</v>
      </c>
      <c r="F240" s="4">
        <v>239479</v>
      </c>
      <c r="G240">
        <v>1</v>
      </c>
      <c r="H240" s="5">
        <f t="shared" si="3"/>
        <v>156681</v>
      </c>
    </row>
    <row r="241" spans="1:8" ht="12.75" x14ac:dyDescent="0.35">
      <c r="A241" s="4">
        <v>2023</v>
      </c>
      <c r="B241" s="3" t="s">
        <v>36</v>
      </c>
      <c r="C241" s="3">
        <v>64029</v>
      </c>
      <c r="D241" s="3">
        <v>25207</v>
      </c>
      <c r="E241" s="3">
        <v>116546</v>
      </c>
      <c r="F241" s="4">
        <v>208635</v>
      </c>
      <c r="G241">
        <v>0</v>
      </c>
      <c r="H241" s="5">
        <f t="shared" si="3"/>
        <v>183428</v>
      </c>
    </row>
    <row r="242" spans="1:8" ht="12.75" x14ac:dyDescent="0.35">
      <c r="A242" s="4">
        <v>2022</v>
      </c>
      <c r="B242" s="3" t="s">
        <v>36</v>
      </c>
      <c r="C242" s="3">
        <v>33632</v>
      </c>
      <c r="D242" s="3">
        <v>117884</v>
      </c>
      <c r="E242" s="3">
        <v>114236</v>
      </c>
      <c r="F242" s="4">
        <v>250320</v>
      </c>
      <c r="G242">
        <v>0</v>
      </c>
      <c r="H242" s="5">
        <f t="shared" si="3"/>
        <v>132436</v>
      </c>
    </row>
    <row r="243" spans="1:8" ht="12.75" x14ac:dyDescent="0.35">
      <c r="A243" s="4">
        <v>2021</v>
      </c>
      <c r="B243" s="3" t="s">
        <v>36</v>
      </c>
      <c r="C243" s="3">
        <v>32872</v>
      </c>
      <c r="D243" s="3">
        <v>125868</v>
      </c>
      <c r="E243" s="3">
        <v>106817</v>
      </c>
      <c r="F243" s="4">
        <v>270440</v>
      </c>
      <c r="G243">
        <v>0</v>
      </c>
      <c r="H243" s="5">
        <f t="shared" si="3"/>
        <v>144572</v>
      </c>
    </row>
    <row r="244" spans="1:8" ht="12.75" x14ac:dyDescent="0.35">
      <c r="A244" s="4">
        <v>2020</v>
      </c>
      <c r="B244" s="3" t="s">
        <v>36</v>
      </c>
      <c r="C244" s="3">
        <v>26003</v>
      </c>
      <c r="D244" s="3">
        <v>74805</v>
      </c>
      <c r="E244" s="3">
        <v>77920</v>
      </c>
      <c r="F244" s="4">
        <v>217013</v>
      </c>
      <c r="G244">
        <v>0</v>
      </c>
      <c r="H244" s="5">
        <f t="shared" si="3"/>
        <v>142208</v>
      </c>
    </row>
    <row r="245" spans="1:8" ht="12.75" x14ac:dyDescent="0.35">
      <c r="A245" s="4">
        <v>2019</v>
      </c>
      <c r="B245" s="3" t="s">
        <v>36</v>
      </c>
      <c r="C245" s="3">
        <v>34501</v>
      </c>
      <c r="D245" s="3">
        <v>121236</v>
      </c>
      <c r="E245" s="3">
        <v>101617</v>
      </c>
      <c r="F245" s="4">
        <v>289393</v>
      </c>
      <c r="G245">
        <v>0</v>
      </c>
      <c r="H245" s="5">
        <f t="shared" si="3"/>
        <v>168157</v>
      </c>
    </row>
    <row r="246" spans="1:8" ht="12.75" x14ac:dyDescent="0.35">
      <c r="A246" s="4">
        <v>2018</v>
      </c>
      <c r="B246" s="3" t="s">
        <v>36</v>
      </c>
      <c r="C246" s="3">
        <v>33678</v>
      </c>
      <c r="D246" s="3">
        <v>119859</v>
      </c>
      <c r="E246" s="3">
        <v>96388</v>
      </c>
      <c r="F246" s="4">
        <v>274477</v>
      </c>
      <c r="G246">
        <v>0</v>
      </c>
      <c r="H246" s="5">
        <f t="shared" si="3"/>
        <v>154618</v>
      </c>
    </row>
    <row r="247" spans="1:8" ht="12.75" x14ac:dyDescent="0.35">
      <c r="A247" s="4">
        <v>2017</v>
      </c>
      <c r="B247" s="3" t="s">
        <v>36</v>
      </c>
      <c r="C247" s="3">
        <v>36284</v>
      </c>
      <c r="D247" s="3">
        <v>84597</v>
      </c>
      <c r="E247" s="3">
        <v>71640</v>
      </c>
      <c r="F247" s="4">
        <v>211942</v>
      </c>
      <c r="G247">
        <v>0</v>
      </c>
      <c r="H247" s="5">
        <f t="shared" si="3"/>
        <v>127345</v>
      </c>
    </row>
    <row r="248" spans="1:8" ht="12.75" x14ac:dyDescent="0.35">
      <c r="A248" s="4">
        <v>2024</v>
      </c>
      <c r="B248" s="3" t="s">
        <v>37</v>
      </c>
      <c r="C248" s="3">
        <v>77243</v>
      </c>
      <c r="D248" s="3">
        <v>533189</v>
      </c>
      <c r="E248" s="3">
        <v>1020576</v>
      </c>
      <c r="F248" s="4">
        <v>2632310</v>
      </c>
      <c r="G248">
        <v>1</v>
      </c>
      <c r="H248" s="5">
        <f t="shared" si="3"/>
        <v>2099121</v>
      </c>
    </row>
    <row r="249" spans="1:8" ht="12.75" x14ac:dyDescent="0.35">
      <c r="A249" s="4">
        <v>2023</v>
      </c>
      <c r="B249" s="3" t="s">
        <v>37</v>
      </c>
      <c r="C249" s="3">
        <v>76960</v>
      </c>
      <c r="D249" s="3">
        <v>505326</v>
      </c>
      <c r="E249" s="3">
        <v>969333</v>
      </c>
      <c r="F249" s="4">
        <v>2447442</v>
      </c>
      <c r="G249">
        <v>0</v>
      </c>
      <c r="H249" s="5">
        <f t="shared" si="3"/>
        <v>1942116</v>
      </c>
    </row>
    <row r="250" spans="1:8" ht="12.75" x14ac:dyDescent="0.35">
      <c r="A250" s="4">
        <v>2022</v>
      </c>
      <c r="B250" s="3" t="s">
        <v>37</v>
      </c>
      <c r="C250" s="3">
        <v>72665</v>
      </c>
      <c r="D250" s="3">
        <v>527094</v>
      </c>
      <c r="E250" s="3">
        <v>1018399</v>
      </c>
      <c r="F250" s="4">
        <v>2586665</v>
      </c>
      <c r="G250">
        <v>0</v>
      </c>
      <c r="H250" s="5">
        <f t="shared" si="3"/>
        <v>2059571</v>
      </c>
    </row>
    <row r="251" spans="1:8" ht="12.75" x14ac:dyDescent="0.35">
      <c r="A251" s="4">
        <v>2021</v>
      </c>
      <c r="B251" s="3" t="s">
        <v>37</v>
      </c>
      <c r="C251" s="3">
        <v>68998</v>
      </c>
      <c r="D251" s="3">
        <v>516460</v>
      </c>
      <c r="E251" s="3">
        <v>1066553</v>
      </c>
      <c r="F251" s="4">
        <v>2554881</v>
      </c>
      <c r="G251">
        <v>0</v>
      </c>
      <c r="H251" s="5">
        <f t="shared" si="3"/>
        <v>2038421</v>
      </c>
    </row>
    <row r="252" spans="1:8" ht="12.75" x14ac:dyDescent="0.35">
      <c r="A252" s="4">
        <v>2020</v>
      </c>
      <c r="B252" s="3" t="s">
        <v>37</v>
      </c>
      <c r="C252" s="3">
        <v>64751</v>
      </c>
      <c r="D252" s="3">
        <v>486926</v>
      </c>
      <c r="E252" s="3">
        <v>992834</v>
      </c>
      <c r="F252" s="4">
        <v>2211744</v>
      </c>
      <c r="G252">
        <v>0</v>
      </c>
      <c r="H252" s="5">
        <f t="shared" si="3"/>
        <v>1724818</v>
      </c>
    </row>
    <row r="253" spans="1:8" ht="12.75" x14ac:dyDescent="0.35">
      <c r="A253" s="4">
        <v>2019</v>
      </c>
      <c r="B253" s="3" t="s">
        <v>37</v>
      </c>
      <c r="C253" s="3">
        <v>61950</v>
      </c>
      <c r="D253" s="3">
        <v>471994</v>
      </c>
      <c r="E253" s="3">
        <v>1037279</v>
      </c>
      <c r="F253" s="4">
        <v>2151801</v>
      </c>
      <c r="G253">
        <v>0</v>
      </c>
      <c r="H253" s="5">
        <f t="shared" si="3"/>
        <v>1679807</v>
      </c>
    </row>
    <row r="254" spans="1:8" ht="12.75" x14ac:dyDescent="0.35">
      <c r="A254" s="4">
        <v>2018</v>
      </c>
      <c r="B254" s="3" t="s">
        <v>37</v>
      </c>
      <c r="C254" s="3">
        <v>56164</v>
      </c>
      <c r="D254" s="3">
        <v>454444</v>
      </c>
      <c r="E254" s="3">
        <v>958240</v>
      </c>
      <c r="F254" s="4">
        <v>1971478</v>
      </c>
      <c r="G254">
        <v>0</v>
      </c>
      <c r="H254" s="5">
        <f t="shared" si="3"/>
        <v>1517034</v>
      </c>
    </row>
    <row r="255" spans="1:8" ht="12.75" x14ac:dyDescent="0.35">
      <c r="A255" s="4">
        <v>2017</v>
      </c>
      <c r="B255" s="3" t="s">
        <v>37</v>
      </c>
      <c r="C255" s="3">
        <v>51985</v>
      </c>
      <c r="D255" s="3">
        <v>373536</v>
      </c>
      <c r="E255" s="3">
        <v>877327</v>
      </c>
      <c r="F255" s="4">
        <v>1732985</v>
      </c>
      <c r="G255">
        <v>0</v>
      </c>
      <c r="H255" s="5">
        <f t="shared" si="3"/>
        <v>1359449</v>
      </c>
    </row>
    <row r="256" spans="1:8" ht="12.75" x14ac:dyDescent="0.35">
      <c r="A256" s="4">
        <v>2024</v>
      </c>
      <c r="B256" s="3" t="s">
        <v>38</v>
      </c>
      <c r="C256" s="3">
        <v>616618</v>
      </c>
      <c r="D256" s="3">
        <v>373907</v>
      </c>
      <c r="E256" s="3">
        <v>310512</v>
      </c>
      <c r="F256" s="4">
        <v>2311035</v>
      </c>
      <c r="G256">
        <v>1</v>
      </c>
      <c r="H256" s="5">
        <f t="shared" si="3"/>
        <v>1937128</v>
      </c>
    </row>
    <row r="257" spans="1:8" ht="12.75" x14ac:dyDescent="0.35">
      <c r="A257" s="4">
        <v>2023</v>
      </c>
      <c r="B257" s="3" t="s">
        <v>38</v>
      </c>
      <c r="C257" s="3">
        <v>588221</v>
      </c>
      <c r="D257" s="3">
        <v>287054</v>
      </c>
      <c r="E257" s="3">
        <v>305213</v>
      </c>
      <c r="F257" s="4">
        <v>2125543</v>
      </c>
      <c r="G257">
        <v>0</v>
      </c>
      <c r="H257" s="5">
        <f t="shared" si="3"/>
        <v>1838489</v>
      </c>
    </row>
    <row r="258" spans="1:8" ht="12.75" x14ac:dyDescent="0.35">
      <c r="A258" s="4">
        <v>2022</v>
      </c>
      <c r="B258" s="3" t="s">
        <v>38</v>
      </c>
      <c r="C258" s="3">
        <v>503220</v>
      </c>
      <c r="D258" s="3">
        <v>319972</v>
      </c>
      <c r="E258" s="3">
        <v>269159</v>
      </c>
      <c r="F258" s="4">
        <v>2086059</v>
      </c>
      <c r="G258">
        <v>0</v>
      </c>
      <c r="H258" s="5">
        <f t="shared" si="3"/>
        <v>1766087</v>
      </c>
    </row>
    <row r="259" spans="1:8" ht="12.75" x14ac:dyDescent="0.35">
      <c r="A259" s="4">
        <v>2021</v>
      </c>
      <c r="B259" s="3" t="s">
        <v>38</v>
      </c>
      <c r="C259" s="3">
        <v>624315</v>
      </c>
      <c r="D259" s="3">
        <v>300150</v>
      </c>
      <c r="E259" s="3">
        <v>251949</v>
      </c>
      <c r="F259" s="4">
        <v>1831957</v>
      </c>
      <c r="G259">
        <v>0</v>
      </c>
      <c r="H259" s="5">
        <f t="shared" ref="H259:H270" si="4">F259-D259</f>
        <v>1531807</v>
      </c>
    </row>
    <row r="260" spans="1:8" ht="12.75" x14ac:dyDescent="0.35">
      <c r="A260" s="4">
        <v>2020</v>
      </c>
      <c r="B260" s="3" t="s">
        <v>38</v>
      </c>
      <c r="C260" s="3">
        <v>566782</v>
      </c>
      <c r="D260" s="3">
        <v>474603</v>
      </c>
      <c r="E260" s="3">
        <v>256316</v>
      </c>
      <c r="F260" s="4">
        <v>1622319</v>
      </c>
      <c r="G260">
        <v>0</v>
      </c>
      <c r="H260" s="5">
        <f t="shared" si="4"/>
        <v>1147716</v>
      </c>
    </row>
    <row r="261" spans="1:8" ht="12.75" x14ac:dyDescent="0.35">
      <c r="A261" s="4">
        <v>2024</v>
      </c>
      <c r="B261" s="3" t="s">
        <v>39</v>
      </c>
      <c r="C261" s="3">
        <v>743852</v>
      </c>
      <c r="D261" s="3">
        <v>1669143</v>
      </c>
      <c r="E261" s="3">
        <v>1836551</v>
      </c>
      <c r="F261" s="4">
        <v>5441260</v>
      </c>
      <c r="G261">
        <v>1</v>
      </c>
      <c r="H261" s="5">
        <f t="shared" si="4"/>
        <v>3772117</v>
      </c>
    </row>
    <row r="262" spans="1:8" ht="12.75" x14ac:dyDescent="0.35">
      <c r="A262" s="4">
        <v>2023</v>
      </c>
      <c r="B262" s="3" t="s">
        <v>39</v>
      </c>
      <c r="C262" s="3">
        <v>728878</v>
      </c>
      <c r="D262" s="3">
        <v>1933893</v>
      </c>
      <c r="E262" s="3">
        <v>1846698</v>
      </c>
      <c r="F262" s="4">
        <v>5913365</v>
      </c>
      <c r="G262">
        <v>0</v>
      </c>
      <c r="H262" s="5">
        <f t="shared" si="4"/>
        <v>3979472</v>
      </c>
    </row>
    <row r="263" spans="1:8" ht="12.75" x14ac:dyDescent="0.35">
      <c r="A263" s="4">
        <v>2022</v>
      </c>
      <c r="B263" s="3" t="s">
        <v>39</v>
      </c>
      <c r="C263" s="3">
        <v>663761</v>
      </c>
      <c r="D263" s="3">
        <v>1712591</v>
      </c>
      <c r="E263" s="3">
        <v>1881960</v>
      </c>
      <c r="F263" s="4">
        <v>5571767</v>
      </c>
      <c r="G263">
        <v>0</v>
      </c>
      <c r="H263" s="5">
        <f t="shared" si="4"/>
        <v>3859176</v>
      </c>
    </row>
    <row r="264" spans="1:8" ht="12.75" x14ac:dyDescent="0.35">
      <c r="A264" s="4">
        <v>2021</v>
      </c>
      <c r="B264" s="3" t="s">
        <v>39</v>
      </c>
      <c r="C264" s="3">
        <v>603243</v>
      </c>
      <c r="D264" s="3">
        <v>1300000</v>
      </c>
      <c r="E264" s="3">
        <v>1710360</v>
      </c>
      <c r="F264" s="4">
        <v>4748139</v>
      </c>
      <c r="G264">
        <v>0</v>
      </c>
      <c r="H264" s="5">
        <f t="shared" si="4"/>
        <v>3448139</v>
      </c>
    </row>
    <row r="265" spans="1:8" ht="12.75" x14ac:dyDescent="0.35">
      <c r="A265" s="4">
        <v>2020</v>
      </c>
      <c r="B265" s="3" t="s">
        <v>39</v>
      </c>
      <c r="C265" s="3">
        <v>517608</v>
      </c>
      <c r="D265" s="3">
        <v>1197632</v>
      </c>
      <c r="E265" s="3">
        <v>1576658</v>
      </c>
      <c r="F265" s="4">
        <v>3767789</v>
      </c>
      <c r="G265">
        <v>0</v>
      </c>
      <c r="H265" s="5">
        <f t="shared" si="4"/>
        <v>2570157</v>
      </c>
    </row>
    <row r="266" spans="1:8" ht="12.75" x14ac:dyDescent="0.35">
      <c r="A266" s="2">
        <v>2019</v>
      </c>
      <c r="B266" s="3" t="s">
        <v>39</v>
      </c>
      <c r="C266" s="3">
        <v>567434</v>
      </c>
      <c r="D266" s="3">
        <v>1354681</v>
      </c>
      <c r="E266" s="3">
        <v>1952382</v>
      </c>
      <c r="F266" s="4">
        <v>4289776</v>
      </c>
      <c r="G266">
        <v>0</v>
      </c>
      <c r="H266" s="5">
        <f t="shared" si="4"/>
        <v>2935095</v>
      </c>
    </row>
    <row r="267" spans="1:8" ht="12.75" x14ac:dyDescent="0.35">
      <c r="A267" s="4">
        <v>2018</v>
      </c>
      <c r="B267" s="3" t="s">
        <v>39</v>
      </c>
      <c r="C267" s="3">
        <v>559073</v>
      </c>
      <c r="D267" s="3">
        <v>1271665</v>
      </c>
      <c r="E267" s="3">
        <v>1972345</v>
      </c>
      <c r="F267" s="4">
        <v>4443262</v>
      </c>
      <c r="G267">
        <v>0</v>
      </c>
      <c r="H267" s="5">
        <f t="shared" si="4"/>
        <v>3171597</v>
      </c>
    </row>
    <row r="268" spans="1:8" ht="12.75" x14ac:dyDescent="0.35">
      <c r="A268" s="2">
        <v>2017</v>
      </c>
      <c r="B268" s="3" t="s">
        <v>39</v>
      </c>
      <c r="C268" s="3">
        <v>499285</v>
      </c>
      <c r="D268" s="3">
        <v>1150838</v>
      </c>
      <c r="E268" s="3">
        <v>1774293</v>
      </c>
      <c r="F268" s="4">
        <v>3885791</v>
      </c>
      <c r="G268">
        <v>0</v>
      </c>
      <c r="H268" s="5">
        <f t="shared" si="4"/>
        <v>2734953</v>
      </c>
    </row>
    <row r="269" spans="1:8" ht="12.75" x14ac:dyDescent="0.35">
      <c r="A269" s="4">
        <v>2016</v>
      </c>
      <c r="B269" s="3" t="s">
        <v>39</v>
      </c>
      <c r="C269" s="3">
        <v>424472</v>
      </c>
      <c r="D269" s="3">
        <v>1026395</v>
      </c>
      <c r="E269" s="3">
        <v>1472754</v>
      </c>
      <c r="F269" s="4">
        <v>3724075</v>
      </c>
      <c r="G269">
        <v>0</v>
      </c>
      <c r="H269" s="5">
        <f t="shared" si="4"/>
        <v>2697680</v>
      </c>
    </row>
    <row r="270" spans="1:8" ht="12.75" x14ac:dyDescent="0.35">
      <c r="A270" s="2">
        <v>2015</v>
      </c>
      <c r="B270" s="3" t="s">
        <v>39</v>
      </c>
      <c r="C270" s="3">
        <v>231188</v>
      </c>
      <c r="D270" s="3">
        <v>1148085</v>
      </c>
      <c r="E270" s="3">
        <v>1474685</v>
      </c>
      <c r="F270" s="4">
        <v>3665989</v>
      </c>
      <c r="G270">
        <v>0</v>
      </c>
      <c r="H270" s="5">
        <f t="shared" si="4"/>
        <v>2517904</v>
      </c>
    </row>
    <row r="271" spans="1:8" ht="12.75" x14ac:dyDescent="0.35">
      <c r="B271" s="3"/>
      <c r="C271" s="3"/>
      <c r="D271" s="3"/>
      <c r="E271" s="3"/>
    </row>
    <row r="272" spans="1:8" ht="12.75" x14ac:dyDescent="0.35">
      <c r="B272" s="3"/>
      <c r="C272" s="3"/>
      <c r="D272" s="3"/>
      <c r="E272" s="3"/>
    </row>
    <row r="273" spans="2:5" ht="12.75" x14ac:dyDescent="0.35">
      <c r="B273" s="3"/>
      <c r="C273" s="3"/>
      <c r="D273" s="3"/>
      <c r="E273" s="3"/>
    </row>
    <row r="274" spans="2:5" ht="12.75" x14ac:dyDescent="0.35">
      <c r="B274" s="3"/>
      <c r="C274" s="3"/>
      <c r="D274" s="3"/>
      <c r="E274" s="3"/>
    </row>
    <row r="275" spans="2:5" ht="12.75" x14ac:dyDescent="0.35">
      <c r="B275" s="3"/>
      <c r="C275" s="3"/>
      <c r="D275" s="3"/>
      <c r="E275" s="3"/>
    </row>
    <row r="276" spans="2:5" ht="12.75" x14ac:dyDescent="0.35">
      <c r="B276" s="3"/>
      <c r="C276" s="3"/>
      <c r="D276" s="3"/>
      <c r="E276" s="3"/>
    </row>
    <row r="277" spans="2:5" ht="12.75" x14ac:dyDescent="0.35">
      <c r="B277" s="3"/>
      <c r="C277" s="3"/>
      <c r="D277" s="3"/>
      <c r="E277" s="3"/>
    </row>
    <row r="278" spans="2:5" ht="12.75" x14ac:dyDescent="0.35">
      <c r="B278" s="3"/>
      <c r="C278" s="3"/>
      <c r="D278" s="3"/>
      <c r="E278" s="3"/>
    </row>
    <row r="279" spans="2:5" ht="12.75" x14ac:dyDescent="0.35">
      <c r="B279" s="3"/>
      <c r="C279" s="3"/>
      <c r="D279" s="3"/>
      <c r="E279" s="3"/>
    </row>
    <row r="280" spans="2:5" ht="12.75" x14ac:dyDescent="0.35">
      <c r="B280" s="3"/>
      <c r="C280" s="3"/>
      <c r="D280" s="3"/>
      <c r="E280" s="3"/>
    </row>
    <row r="281" spans="2:5" ht="12.75" x14ac:dyDescent="0.35">
      <c r="B281" s="3"/>
      <c r="C281" s="3"/>
      <c r="D281" s="3"/>
      <c r="E281" s="3"/>
    </row>
    <row r="282" spans="2:5" ht="12.75" x14ac:dyDescent="0.35">
      <c r="B282" s="3"/>
      <c r="C282" s="3"/>
      <c r="D282" s="3"/>
      <c r="E282" s="3"/>
    </row>
    <row r="283" spans="2:5" ht="12.75" x14ac:dyDescent="0.35">
      <c r="B283" s="3"/>
      <c r="C283" s="3"/>
      <c r="D283" s="3"/>
      <c r="E283" s="3"/>
    </row>
    <row r="284" spans="2:5" ht="12.75" x14ac:dyDescent="0.35">
      <c r="B284" s="3"/>
      <c r="C284" s="3"/>
      <c r="D284" s="3"/>
      <c r="E284" s="3"/>
    </row>
    <row r="285" spans="2:5" ht="12.75" x14ac:dyDescent="0.35">
      <c r="B285" s="3"/>
      <c r="C285" s="3"/>
      <c r="D285" s="3"/>
      <c r="E285" s="3"/>
    </row>
    <row r="286" spans="2:5" ht="12.75" x14ac:dyDescent="0.35">
      <c r="B286" s="3"/>
      <c r="C286" s="3"/>
      <c r="D286" s="3"/>
      <c r="E286" s="3"/>
    </row>
    <row r="287" spans="2:5" ht="12.75" x14ac:dyDescent="0.35">
      <c r="B287" s="3"/>
      <c r="C287" s="3"/>
      <c r="D287" s="3"/>
      <c r="E287" s="3"/>
    </row>
    <row r="288" spans="2:5" ht="12.75" x14ac:dyDescent="0.35">
      <c r="B288" s="3"/>
      <c r="C288" s="3"/>
      <c r="D288" s="3"/>
      <c r="E288" s="3"/>
    </row>
    <row r="289" spans="2:5" ht="12.75" x14ac:dyDescent="0.35">
      <c r="B289" s="3"/>
      <c r="C289" s="3"/>
      <c r="D289" s="3"/>
      <c r="E289" s="3"/>
    </row>
    <row r="290" spans="2:5" ht="12.75" x14ac:dyDescent="0.35">
      <c r="B290" s="3"/>
      <c r="C290" s="3"/>
      <c r="D290" s="3"/>
      <c r="E290" s="3"/>
    </row>
    <row r="291" spans="2:5" ht="12.75" x14ac:dyDescent="0.35">
      <c r="B291" s="3"/>
      <c r="C291" s="3"/>
      <c r="D291" s="3"/>
      <c r="E291" s="3"/>
    </row>
    <row r="292" spans="2:5" ht="12.75" x14ac:dyDescent="0.35">
      <c r="B292" s="3"/>
      <c r="C292" s="3"/>
      <c r="D292" s="3"/>
      <c r="E292" s="3"/>
    </row>
    <row r="293" spans="2:5" ht="12.75" x14ac:dyDescent="0.35">
      <c r="B293" s="3"/>
      <c r="C293" s="3"/>
      <c r="D293" s="3"/>
      <c r="E293" s="3"/>
    </row>
    <row r="294" spans="2:5" ht="12.75" x14ac:dyDescent="0.35">
      <c r="B294" s="3"/>
      <c r="C294" s="3"/>
      <c r="D294" s="3"/>
      <c r="E294" s="3"/>
    </row>
    <row r="295" spans="2:5" ht="12.75" x14ac:dyDescent="0.35">
      <c r="B295" s="3"/>
      <c r="C295" s="3"/>
      <c r="D295" s="3"/>
      <c r="E295" s="3"/>
    </row>
    <row r="296" spans="2:5" ht="12.75" x14ac:dyDescent="0.35">
      <c r="B296" s="3"/>
      <c r="C296" s="3"/>
      <c r="D296" s="3"/>
      <c r="E296" s="3"/>
    </row>
    <row r="297" spans="2:5" ht="12.75" x14ac:dyDescent="0.35">
      <c r="B297" s="3"/>
      <c r="C297" s="3"/>
      <c r="D297" s="3"/>
      <c r="E297" s="3"/>
    </row>
    <row r="298" spans="2:5" ht="12.75" x14ac:dyDescent="0.35">
      <c r="B298" s="3"/>
      <c r="C298" s="3"/>
      <c r="D298" s="3"/>
      <c r="E298" s="3"/>
    </row>
    <row r="299" spans="2:5" ht="12.75" x14ac:dyDescent="0.35">
      <c r="B299" s="3"/>
      <c r="C299" s="3"/>
      <c r="D299" s="3"/>
      <c r="E299" s="3"/>
    </row>
    <row r="300" spans="2:5" ht="12.75" x14ac:dyDescent="0.35">
      <c r="B300" s="3"/>
      <c r="C300" s="3"/>
      <c r="D300" s="3"/>
      <c r="E300" s="3"/>
    </row>
    <row r="301" spans="2:5" ht="12.75" x14ac:dyDescent="0.35">
      <c r="B301" s="3"/>
      <c r="C301" s="3"/>
      <c r="D301" s="3"/>
      <c r="E301" s="3"/>
    </row>
    <row r="302" spans="2:5" ht="12.75" x14ac:dyDescent="0.35">
      <c r="B302" s="3"/>
      <c r="C302" s="3"/>
      <c r="D302" s="3"/>
      <c r="E302" s="3"/>
    </row>
    <row r="303" spans="2:5" ht="12.75" x14ac:dyDescent="0.35">
      <c r="B303" s="3"/>
      <c r="C303" s="3"/>
      <c r="D303" s="3"/>
      <c r="E303" s="3"/>
    </row>
    <row r="304" spans="2:5" ht="12.75" x14ac:dyDescent="0.35">
      <c r="B304" s="3"/>
      <c r="C304" s="3"/>
      <c r="D304" s="3"/>
      <c r="E304" s="3"/>
    </row>
    <row r="305" spans="2:5" ht="12.75" x14ac:dyDescent="0.35">
      <c r="B305" s="3"/>
      <c r="C305" s="3"/>
      <c r="D305" s="3"/>
      <c r="E305" s="3"/>
    </row>
    <row r="306" spans="2:5" ht="12.75" x14ac:dyDescent="0.35">
      <c r="B306" s="3"/>
      <c r="C306" s="3"/>
      <c r="D306" s="3"/>
      <c r="E306" s="3"/>
    </row>
    <row r="307" spans="2:5" ht="12.75" x14ac:dyDescent="0.35">
      <c r="B307" s="3"/>
      <c r="C307" s="3"/>
      <c r="D307" s="3"/>
      <c r="E307" s="3"/>
    </row>
    <row r="308" spans="2:5" ht="12.75" x14ac:dyDescent="0.35">
      <c r="B308" s="3"/>
      <c r="C308" s="3"/>
      <c r="D308" s="3"/>
      <c r="E308" s="3"/>
    </row>
    <row r="309" spans="2:5" ht="12.75" x14ac:dyDescent="0.35">
      <c r="B309" s="3"/>
      <c r="C309" s="3"/>
      <c r="D309" s="3"/>
      <c r="E309" s="3"/>
    </row>
    <row r="310" spans="2:5" ht="12.75" x14ac:dyDescent="0.35">
      <c r="B310" s="3"/>
      <c r="C310" s="3"/>
      <c r="D310" s="3"/>
      <c r="E310" s="3"/>
    </row>
    <row r="311" spans="2:5" ht="12.75" x14ac:dyDescent="0.35">
      <c r="B311" s="3"/>
      <c r="C311" s="3"/>
      <c r="D311" s="3"/>
      <c r="E311" s="3"/>
    </row>
    <row r="312" spans="2:5" ht="12.75" x14ac:dyDescent="0.35">
      <c r="B312" s="3"/>
      <c r="C312" s="3"/>
      <c r="D312" s="3"/>
      <c r="E312" s="3"/>
    </row>
    <row r="313" spans="2:5" ht="12.75" x14ac:dyDescent="0.35">
      <c r="B313" s="3"/>
      <c r="C313" s="3"/>
      <c r="D313" s="3"/>
      <c r="E313" s="3"/>
    </row>
    <row r="314" spans="2:5" ht="12.75" x14ac:dyDescent="0.35">
      <c r="B314" s="3"/>
      <c r="C314" s="3"/>
      <c r="D314" s="3"/>
      <c r="E314" s="3"/>
    </row>
    <row r="315" spans="2:5" ht="12.75" x14ac:dyDescent="0.35">
      <c r="B315" s="3"/>
      <c r="C315" s="3"/>
      <c r="D315" s="3"/>
      <c r="E315" s="3"/>
    </row>
    <row r="316" spans="2:5" ht="12.75" x14ac:dyDescent="0.35">
      <c r="B316" s="3"/>
      <c r="C316" s="3"/>
      <c r="D316" s="3"/>
      <c r="E316" s="3"/>
    </row>
    <row r="317" spans="2:5" ht="12.75" x14ac:dyDescent="0.35">
      <c r="B317" s="3"/>
      <c r="C317" s="3"/>
      <c r="D317" s="3"/>
      <c r="E317" s="3"/>
    </row>
    <row r="318" spans="2:5" ht="12.75" x14ac:dyDescent="0.35">
      <c r="B318" s="3"/>
      <c r="C318" s="3"/>
      <c r="D318" s="3"/>
      <c r="E318" s="3"/>
    </row>
    <row r="319" spans="2:5" ht="12.75" x14ac:dyDescent="0.35">
      <c r="B319" s="3"/>
      <c r="C319" s="3"/>
      <c r="D319" s="3"/>
      <c r="E319" s="3"/>
    </row>
    <row r="320" spans="2:5" ht="12.75" x14ac:dyDescent="0.35">
      <c r="B320" s="3"/>
      <c r="C320" s="3"/>
      <c r="D320" s="3"/>
      <c r="E320" s="3"/>
    </row>
    <row r="321" spans="2:5" ht="12.75" x14ac:dyDescent="0.35">
      <c r="B321" s="3"/>
      <c r="C321" s="3"/>
      <c r="D321" s="3"/>
      <c r="E321" s="3"/>
    </row>
    <row r="322" spans="2:5" ht="12.75" x14ac:dyDescent="0.35">
      <c r="B322" s="3"/>
      <c r="C322" s="3"/>
      <c r="D322" s="3"/>
      <c r="E322" s="3"/>
    </row>
    <row r="323" spans="2:5" ht="12.75" x14ac:dyDescent="0.35">
      <c r="B323" s="3"/>
      <c r="C323" s="3"/>
      <c r="D323" s="3"/>
      <c r="E323" s="3"/>
    </row>
    <row r="324" spans="2:5" ht="12.75" x14ac:dyDescent="0.35">
      <c r="B324" s="3"/>
      <c r="C324" s="3"/>
      <c r="D324" s="3"/>
      <c r="E324" s="3"/>
    </row>
    <row r="325" spans="2:5" ht="12.75" x14ac:dyDescent="0.35">
      <c r="B325" s="3"/>
      <c r="C325" s="3"/>
      <c r="D325" s="3"/>
      <c r="E325" s="3"/>
    </row>
    <row r="326" spans="2:5" ht="12.75" x14ac:dyDescent="0.35">
      <c r="B326" s="3"/>
      <c r="C326" s="3"/>
      <c r="D326" s="3"/>
      <c r="E326" s="3"/>
    </row>
    <row r="327" spans="2:5" ht="12.75" x14ac:dyDescent="0.35">
      <c r="B327" s="3"/>
      <c r="C327" s="3"/>
      <c r="D327" s="3"/>
      <c r="E327" s="3"/>
    </row>
    <row r="328" spans="2:5" ht="12.75" x14ac:dyDescent="0.35">
      <c r="B328" s="3"/>
      <c r="C328" s="3"/>
      <c r="D328" s="3"/>
      <c r="E328" s="3"/>
    </row>
    <row r="329" spans="2:5" ht="12.75" x14ac:dyDescent="0.35">
      <c r="B329" s="3"/>
      <c r="C329" s="3"/>
      <c r="D329" s="3"/>
      <c r="E329" s="3"/>
    </row>
    <row r="330" spans="2:5" ht="12.75" x14ac:dyDescent="0.35">
      <c r="B330" s="3"/>
      <c r="C330" s="3"/>
      <c r="D330" s="3"/>
      <c r="E330" s="3"/>
    </row>
    <row r="331" spans="2:5" ht="12.75" x14ac:dyDescent="0.35">
      <c r="B331" s="3"/>
      <c r="C331" s="3"/>
      <c r="D331" s="3"/>
      <c r="E331" s="3"/>
    </row>
    <row r="332" spans="2:5" ht="12.75" x14ac:dyDescent="0.35">
      <c r="B332" s="3"/>
      <c r="C332" s="3"/>
      <c r="D332" s="3"/>
      <c r="E332" s="3"/>
    </row>
    <row r="333" spans="2:5" ht="12.75" x14ac:dyDescent="0.35">
      <c r="B333" s="3"/>
      <c r="C333" s="3"/>
      <c r="D333" s="3"/>
      <c r="E333" s="3"/>
    </row>
    <row r="334" spans="2:5" ht="12.75" x14ac:dyDescent="0.35">
      <c r="B334" s="3"/>
      <c r="C334" s="3"/>
      <c r="D334" s="3"/>
      <c r="E334" s="3"/>
    </row>
    <row r="335" spans="2:5" ht="12.75" x14ac:dyDescent="0.35">
      <c r="B335" s="3"/>
      <c r="C335" s="3"/>
      <c r="D335" s="3"/>
      <c r="E335" s="3"/>
    </row>
    <row r="336" spans="2:5" ht="12.75" x14ac:dyDescent="0.35">
      <c r="B336" s="3"/>
      <c r="C336" s="3"/>
      <c r="D336" s="3"/>
      <c r="E336" s="3"/>
    </row>
    <row r="337" spans="2:5" ht="12.75" x14ac:dyDescent="0.35">
      <c r="B337" s="3"/>
      <c r="C337" s="3"/>
      <c r="D337" s="3"/>
      <c r="E337" s="3"/>
    </row>
    <row r="338" spans="2:5" ht="12.75" x14ac:dyDescent="0.35">
      <c r="B338" s="3"/>
      <c r="C338" s="3"/>
      <c r="D338" s="3"/>
      <c r="E338" s="3"/>
    </row>
    <row r="339" spans="2:5" ht="12.75" x14ac:dyDescent="0.35">
      <c r="B339" s="3"/>
      <c r="C339" s="3"/>
      <c r="D339" s="3"/>
      <c r="E339" s="3"/>
    </row>
    <row r="340" spans="2:5" ht="12.75" x14ac:dyDescent="0.35">
      <c r="B340" s="3"/>
      <c r="C340" s="3"/>
      <c r="D340" s="3"/>
      <c r="E340" s="3"/>
    </row>
    <row r="341" spans="2:5" ht="12.75" x14ac:dyDescent="0.35">
      <c r="B341" s="3"/>
      <c r="C341" s="3"/>
      <c r="D341" s="3"/>
      <c r="E341" s="3"/>
    </row>
    <row r="342" spans="2:5" ht="12.75" x14ac:dyDescent="0.35">
      <c r="B342" s="3"/>
      <c r="C342" s="3"/>
      <c r="D342" s="3"/>
      <c r="E342" s="3"/>
    </row>
    <row r="343" spans="2:5" ht="12.75" x14ac:dyDescent="0.35">
      <c r="B343" s="3"/>
      <c r="C343" s="3"/>
      <c r="D343" s="3"/>
      <c r="E343" s="3"/>
    </row>
    <row r="344" spans="2:5" ht="12.75" x14ac:dyDescent="0.35">
      <c r="B344" s="3"/>
      <c r="C344" s="3"/>
      <c r="D344" s="3"/>
      <c r="E344" s="3"/>
    </row>
    <row r="345" spans="2:5" ht="12.75" x14ac:dyDescent="0.35">
      <c r="B345" s="3"/>
      <c r="C345" s="3"/>
      <c r="D345" s="3"/>
      <c r="E345" s="3"/>
    </row>
    <row r="346" spans="2:5" ht="12.75" x14ac:dyDescent="0.35">
      <c r="B346" s="3"/>
      <c r="C346" s="3"/>
      <c r="D346" s="3"/>
      <c r="E346" s="3"/>
    </row>
    <row r="347" spans="2:5" ht="12.75" x14ac:dyDescent="0.35">
      <c r="B347" s="3"/>
      <c r="C347" s="3"/>
      <c r="D347" s="3"/>
      <c r="E347" s="3"/>
    </row>
    <row r="348" spans="2:5" ht="12.75" x14ac:dyDescent="0.35">
      <c r="B348" s="3"/>
      <c r="C348" s="3"/>
      <c r="D348" s="3"/>
      <c r="E348" s="3"/>
    </row>
    <row r="349" spans="2:5" ht="12.75" x14ac:dyDescent="0.35">
      <c r="B349" s="3"/>
      <c r="C349" s="3"/>
      <c r="D349" s="3"/>
      <c r="E349" s="3"/>
    </row>
    <row r="350" spans="2:5" ht="12.75" x14ac:dyDescent="0.35">
      <c r="B350" s="3"/>
      <c r="C350" s="3"/>
      <c r="D350" s="3"/>
      <c r="E350" s="3"/>
    </row>
    <row r="351" spans="2:5" ht="12.75" x14ac:dyDescent="0.35">
      <c r="B351" s="3"/>
      <c r="C351" s="3"/>
      <c r="D351" s="3"/>
      <c r="E351" s="3"/>
    </row>
    <row r="352" spans="2:5" ht="12.75" x14ac:dyDescent="0.35">
      <c r="B352" s="3"/>
      <c r="C352" s="3"/>
      <c r="D352" s="3"/>
      <c r="E352" s="3"/>
    </row>
    <row r="353" spans="2:5" ht="12.75" x14ac:dyDescent="0.35">
      <c r="B353" s="3"/>
      <c r="C353" s="3"/>
      <c r="D353" s="3"/>
      <c r="E353" s="3"/>
    </row>
    <row r="354" spans="2:5" ht="12.75" x14ac:dyDescent="0.35">
      <c r="B354" s="3"/>
      <c r="C354" s="3"/>
      <c r="D354" s="3"/>
      <c r="E354" s="3"/>
    </row>
    <row r="355" spans="2:5" ht="12.75" x14ac:dyDescent="0.35">
      <c r="B355" s="3"/>
      <c r="C355" s="3"/>
      <c r="D355" s="3"/>
      <c r="E355" s="3"/>
    </row>
    <row r="356" spans="2:5" ht="12.75" x14ac:dyDescent="0.35">
      <c r="B356" s="3"/>
      <c r="C356" s="3"/>
      <c r="D356" s="3"/>
      <c r="E356" s="3"/>
    </row>
    <row r="357" spans="2:5" ht="12.75" x14ac:dyDescent="0.35">
      <c r="B357" s="3"/>
      <c r="C357" s="3"/>
      <c r="D357" s="3"/>
      <c r="E357" s="3"/>
    </row>
    <row r="358" spans="2:5" ht="12.75" x14ac:dyDescent="0.35">
      <c r="B358" s="3"/>
      <c r="C358" s="3"/>
      <c r="D358" s="3"/>
      <c r="E358" s="3"/>
    </row>
    <row r="359" spans="2:5" ht="12.75" x14ac:dyDescent="0.35">
      <c r="B359" s="3"/>
      <c r="C359" s="3"/>
      <c r="D359" s="3"/>
      <c r="E359" s="3"/>
    </row>
    <row r="360" spans="2:5" ht="12.75" x14ac:dyDescent="0.35">
      <c r="B360" s="3"/>
      <c r="C360" s="3"/>
      <c r="D360" s="3"/>
      <c r="E360" s="3"/>
    </row>
    <row r="361" spans="2:5" ht="12.75" x14ac:dyDescent="0.35">
      <c r="B361" s="3"/>
      <c r="C361" s="3"/>
      <c r="D361" s="3"/>
      <c r="E361" s="3"/>
    </row>
    <row r="362" spans="2:5" ht="12.75" x14ac:dyDescent="0.35">
      <c r="B362" s="3"/>
      <c r="C362" s="3"/>
      <c r="D362" s="3"/>
      <c r="E362" s="3"/>
    </row>
    <row r="363" spans="2:5" ht="12.75" x14ac:dyDescent="0.35">
      <c r="B363" s="3"/>
      <c r="C363" s="3"/>
      <c r="D363" s="3"/>
      <c r="E363" s="3"/>
    </row>
    <row r="364" spans="2:5" ht="12.75" x14ac:dyDescent="0.35">
      <c r="B364" s="3"/>
      <c r="C364" s="3"/>
      <c r="D364" s="3"/>
      <c r="E364" s="3"/>
    </row>
    <row r="365" spans="2:5" ht="12.75" x14ac:dyDescent="0.35">
      <c r="B365" s="3"/>
      <c r="C365" s="3"/>
      <c r="D365" s="3"/>
      <c r="E365" s="3"/>
    </row>
    <row r="366" spans="2:5" ht="12.75" x14ac:dyDescent="0.35">
      <c r="B366" s="3"/>
      <c r="C366" s="3"/>
      <c r="D366" s="3"/>
      <c r="E366" s="3"/>
    </row>
    <row r="367" spans="2:5" ht="12.75" x14ac:dyDescent="0.35">
      <c r="B367" s="3"/>
      <c r="C367" s="3"/>
      <c r="D367" s="3"/>
      <c r="E367" s="3"/>
    </row>
    <row r="368" spans="2:5" ht="12.75" x14ac:dyDescent="0.35">
      <c r="B368" s="3"/>
      <c r="C368" s="3"/>
      <c r="D368" s="3"/>
      <c r="E368" s="3"/>
    </row>
    <row r="369" spans="2:5" ht="12.75" x14ac:dyDescent="0.35">
      <c r="B369" s="3"/>
      <c r="C369" s="3"/>
      <c r="D369" s="3"/>
      <c r="E369" s="3"/>
    </row>
    <row r="370" spans="2:5" ht="12.75" x14ac:dyDescent="0.35">
      <c r="B370" s="3"/>
      <c r="C370" s="3"/>
      <c r="D370" s="3"/>
      <c r="E370" s="3"/>
    </row>
    <row r="371" spans="2:5" ht="12.75" x14ac:dyDescent="0.35">
      <c r="B371" s="3"/>
      <c r="C371" s="3"/>
      <c r="D371" s="3"/>
      <c r="E371" s="3"/>
    </row>
    <row r="372" spans="2:5" ht="12.75" x14ac:dyDescent="0.35">
      <c r="B372" s="3"/>
      <c r="C372" s="3"/>
      <c r="D372" s="3"/>
      <c r="E372" s="3"/>
    </row>
    <row r="373" spans="2:5" ht="12.75" x14ac:dyDescent="0.35">
      <c r="B373" s="3"/>
      <c r="C373" s="3"/>
      <c r="D373" s="3"/>
      <c r="E373" s="3"/>
    </row>
    <row r="374" spans="2:5" ht="12.75" x14ac:dyDescent="0.35">
      <c r="B374" s="3"/>
      <c r="C374" s="3"/>
      <c r="D374" s="3"/>
      <c r="E374" s="3"/>
    </row>
    <row r="375" spans="2:5" ht="12.75" x14ac:dyDescent="0.35">
      <c r="B375" s="3"/>
      <c r="C375" s="3"/>
      <c r="D375" s="3"/>
      <c r="E375" s="3"/>
    </row>
    <row r="376" spans="2:5" ht="12.75" x14ac:dyDescent="0.35">
      <c r="B376" s="3"/>
      <c r="C376" s="3"/>
      <c r="D376" s="3"/>
      <c r="E376" s="3"/>
    </row>
    <row r="377" spans="2:5" ht="12.75" x14ac:dyDescent="0.35">
      <c r="B377" s="3"/>
      <c r="C377" s="3"/>
      <c r="D377" s="3"/>
      <c r="E377" s="3"/>
    </row>
    <row r="378" spans="2:5" ht="12.75" x14ac:dyDescent="0.35">
      <c r="B378" s="3"/>
      <c r="C378" s="3"/>
      <c r="D378" s="3"/>
      <c r="E378" s="3"/>
    </row>
    <row r="379" spans="2:5" ht="12.75" x14ac:dyDescent="0.35">
      <c r="B379" s="3"/>
      <c r="C379" s="3"/>
      <c r="D379" s="3"/>
      <c r="E379" s="3"/>
    </row>
    <row r="380" spans="2:5" ht="12.75" x14ac:dyDescent="0.35">
      <c r="B380" s="3"/>
      <c r="C380" s="3"/>
      <c r="D380" s="3"/>
      <c r="E380" s="3"/>
    </row>
    <row r="381" spans="2:5" ht="12.75" x14ac:dyDescent="0.35">
      <c r="B381" s="3"/>
      <c r="C381" s="3"/>
      <c r="D381" s="3"/>
      <c r="E381" s="3"/>
    </row>
    <row r="382" spans="2:5" ht="12.75" x14ac:dyDescent="0.35">
      <c r="B382" s="3"/>
      <c r="C382" s="3"/>
      <c r="D382" s="3"/>
      <c r="E382" s="3"/>
    </row>
    <row r="383" spans="2:5" ht="12.75" x14ac:dyDescent="0.35">
      <c r="B383" s="3"/>
      <c r="C383" s="3"/>
      <c r="D383" s="3"/>
      <c r="E383" s="3"/>
    </row>
    <row r="384" spans="2:5" ht="12.75" x14ac:dyDescent="0.35">
      <c r="B384" s="3"/>
      <c r="C384" s="3"/>
      <c r="D384" s="3"/>
      <c r="E384" s="3"/>
    </row>
    <row r="385" spans="2:5" ht="12.75" x14ac:dyDescent="0.35">
      <c r="B385" s="3"/>
      <c r="C385" s="3"/>
      <c r="D385" s="3"/>
      <c r="E385" s="3"/>
    </row>
    <row r="386" spans="2:5" ht="12.75" x14ac:dyDescent="0.35">
      <c r="B386" s="3"/>
      <c r="C386" s="3"/>
      <c r="D386" s="3"/>
      <c r="E386" s="3"/>
    </row>
    <row r="387" spans="2:5" ht="12.75" x14ac:dyDescent="0.35">
      <c r="B387" s="3"/>
      <c r="C387" s="3"/>
      <c r="D387" s="3"/>
      <c r="E387" s="3"/>
    </row>
    <row r="388" spans="2:5" ht="12.75" x14ac:dyDescent="0.35">
      <c r="B388" s="3"/>
      <c r="C388" s="3"/>
      <c r="D388" s="3"/>
      <c r="E388" s="3"/>
    </row>
    <row r="389" spans="2:5" ht="12.75" x14ac:dyDescent="0.35">
      <c r="B389" s="3"/>
      <c r="C389" s="3"/>
      <c r="D389" s="3"/>
      <c r="E389" s="3"/>
    </row>
    <row r="390" spans="2:5" ht="12.75" x14ac:dyDescent="0.35">
      <c r="B390" s="3"/>
      <c r="C390" s="3"/>
      <c r="D390" s="3"/>
      <c r="E390" s="3"/>
    </row>
    <row r="391" spans="2:5" ht="12.75" x14ac:dyDescent="0.35">
      <c r="B391" s="3"/>
      <c r="C391" s="3"/>
      <c r="D391" s="3"/>
      <c r="E391" s="3"/>
    </row>
    <row r="392" spans="2:5" ht="12.75" x14ac:dyDescent="0.35">
      <c r="B392" s="3"/>
      <c r="C392" s="3"/>
      <c r="D392" s="3"/>
      <c r="E392" s="3"/>
    </row>
    <row r="393" spans="2:5" ht="12.75" x14ac:dyDescent="0.35">
      <c r="B393" s="3"/>
      <c r="C393" s="3"/>
      <c r="D393" s="3"/>
      <c r="E393" s="3"/>
    </row>
    <row r="394" spans="2:5" ht="12.75" x14ac:dyDescent="0.35">
      <c r="B394" s="3"/>
      <c r="C394" s="3"/>
      <c r="D394" s="3"/>
      <c r="E394" s="3"/>
    </row>
    <row r="395" spans="2:5" ht="12.75" x14ac:dyDescent="0.35">
      <c r="B395" s="3"/>
      <c r="C395" s="3"/>
      <c r="D395" s="3"/>
      <c r="E395" s="3"/>
    </row>
    <row r="396" spans="2:5" ht="12.75" x14ac:dyDescent="0.35">
      <c r="B396" s="3"/>
      <c r="C396" s="3"/>
      <c r="D396" s="3"/>
      <c r="E396" s="3"/>
    </row>
    <row r="397" spans="2:5" ht="12.75" x14ac:dyDescent="0.35">
      <c r="B397" s="3"/>
      <c r="C397" s="3"/>
      <c r="D397" s="3"/>
      <c r="E397" s="3"/>
    </row>
    <row r="398" spans="2:5" ht="12.75" x14ac:dyDescent="0.35">
      <c r="B398" s="3"/>
      <c r="C398" s="3"/>
      <c r="D398" s="3"/>
      <c r="E398" s="3"/>
    </row>
    <row r="399" spans="2:5" ht="12.75" x14ac:dyDescent="0.35">
      <c r="B399" s="3"/>
      <c r="C399" s="3"/>
      <c r="D399" s="3"/>
      <c r="E399" s="3"/>
    </row>
    <row r="400" spans="2:5" ht="12.75" x14ac:dyDescent="0.35">
      <c r="B400" s="3"/>
      <c r="C400" s="3"/>
      <c r="D400" s="3"/>
      <c r="E400" s="3"/>
    </row>
    <row r="401" spans="2:5" ht="12.75" x14ac:dyDescent="0.35">
      <c r="B401" s="3"/>
      <c r="C401" s="3"/>
      <c r="D401" s="3"/>
      <c r="E401" s="3"/>
    </row>
    <row r="402" spans="2:5" ht="12.75" x14ac:dyDescent="0.35">
      <c r="B402" s="3"/>
      <c r="C402" s="3"/>
      <c r="D402" s="3"/>
      <c r="E402" s="3"/>
    </row>
    <row r="403" spans="2:5" ht="12.75" x14ac:dyDescent="0.35">
      <c r="B403" s="3"/>
      <c r="C403" s="3"/>
      <c r="D403" s="3"/>
      <c r="E403" s="3"/>
    </row>
    <row r="404" spans="2:5" ht="12.75" x14ac:dyDescent="0.35">
      <c r="B404" s="3"/>
      <c r="C404" s="3"/>
      <c r="D404" s="3"/>
      <c r="E404" s="3"/>
    </row>
    <row r="405" spans="2:5" ht="12.75" x14ac:dyDescent="0.35">
      <c r="B405" s="3"/>
      <c r="C405" s="3"/>
      <c r="D405" s="3"/>
      <c r="E405" s="3"/>
    </row>
    <row r="406" spans="2:5" ht="12.75" x14ac:dyDescent="0.35">
      <c r="B406" s="3"/>
      <c r="C406" s="3"/>
      <c r="D406" s="3"/>
      <c r="E406" s="3"/>
    </row>
    <row r="407" spans="2:5" ht="12.75" x14ac:dyDescent="0.35">
      <c r="B407" s="3"/>
      <c r="C407" s="3"/>
      <c r="D407" s="3"/>
      <c r="E407" s="3"/>
    </row>
    <row r="408" spans="2:5" ht="12.75" x14ac:dyDescent="0.35">
      <c r="B408" s="3"/>
      <c r="C408" s="3"/>
      <c r="D408" s="3"/>
      <c r="E408" s="3"/>
    </row>
    <row r="409" spans="2:5" ht="12.75" x14ac:dyDescent="0.35">
      <c r="B409" s="3"/>
      <c r="C409" s="3"/>
      <c r="D409" s="3"/>
      <c r="E409" s="3"/>
    </row>
    <row r="410" spans="2:5" ht="12.75" x14ac:dyDescent="0.35">
      <c r="B410" s="3"/>
      <c r="C410" s="3"/>
      <c r="D410" s="3"/>
      <c r="E410" s="3"/>
    </row>
    <row r="411" spans="2:5" ht="12.75" x14ac:dyDescent="0.35">
      <c r="B411" s="3"/>
      <c r="C411" s="3"/>
      <c r="D411" s="3"/>
      <c r="E411" s="3"/>
    </row>
    <row r="412" spans="2:5" ht="12.75" x14ac:dyDescent="0.35">
      <c r="B412" s="3"/>
      <c r="C412" s="3"/>
      <c r="D412" s="3"/>
      <c r="E412" s="3"/>
    </row>
    <row r="413" spans="2:5" ht="12.75" x14ac:dyDescent="0.35">
      <c r="B413" s="3"/>
      <c r="C413" s="3"/>
      <c r="D413" s="3"/>
      <c r="E413" s="3"/>
    </row>
    <row r="414" spans="2:5" ht="12.75" x14ac:dyDescent="0.35">
      <c r="B414" s="3"/>
      <c r="C414" s="3"/>
      <c r="D414" s="3"/>
      <c r="E414" s="3"/>
    </row>
    <row r="415" spans="2:5" ht="12.75" x14ac:dyDescent="0.35">
      <c r="B415" s="3"/>
      <c r="C415" s="3"/>
      <c r="D415" s="3"/>
      <c r="E415" s="3"/>
    </row>
    <row r="416" spans="2:5" ht="12.75" x14ac:dyDescent="0.35">
      <c r="B416" s="3"/>
      <c r="C416" s="3"/>
      <c r="D416" s="3"/>
      <c r="E416" s="3"/>
    </row>
    <row r="417" spans="2:5" ht="12.75" x14ac:dyDescent="0.35">
      <c r="B417" s="3"/>
      <c r="C417" s="3"/>
      <c r="D417" s="3"/>
      <c r="E417" s="3"/>
    </row>
    <row r="418" spans="2:5" ht="12.75" x14ac:dyDescent="0.35">
      <c r="B418" s="3"/>
      <c r="C418" s="3"/>
      <c r="D418" s="3"/>
      <c r="E418" s="3"/>
    </row>
    <row r="419" spans="2:5" ht="12.75" x14ac:dyDescent="0.35">
      <c r="B419" s="3"/>
      <c r="C419" s="3"/>
      <c r="D419" s="3"/>
      <c r="E419" s="3"/>
    </row>
    <row r="420" spans="2:5" ht="12.75" x14ac:dyDescent="0.35">
      <c r="B420" s="3"/>
      <c r="C420" s="3"/>
      <c r="D420" s="3"/>
      <c r="E420" s="3"/>
    </row>
    <row r="421" spans="2:5" ht="12.75" x14ac:dyDescent="0.35">
      <c r="B421" s="3"/>
      <c r="C421" s="3"/>
      <c r="D421" s="3"/>
      <c r="E421" s="3"/>
    </row>
    <row r="422" spans="2:5" ht="12.75" x14ac:dyDescent="0.35">
      <c r="B422" s="3"/>
      <c r="C422" s="3"/>
      <c r="D422" s="3"/>
      <c r="E422" s="3"/>
    </row>
    <row r="423" spans="2:5" ht="12.75" x14ac:dyDescent="0.35">
      <c r="B423" s="3"/>
      <c r="C423" s="3"/>
      <c r="D423" s="3"/>
      <c r="E423" s="3"/>
    </row>
    <row r="424" spans="2:5" ht="12.75" x14ac:dyDescent="0.35">
      <c r="B424" s="3"/>
      <c r="C424" s="3"/>
      <c r="D424" s="3"/>
      <c r="E424" s="3"/>
    </row>
    <row r="425" spans="2:5" ht="12.75" x14ac:dyDescent="0.35">
      <c r="B425" s="3"/>
      <c r="C425" s="3"/>
      <c r="D425" s="3"/>
      <c r="E425" s="3"/>
    </row>
    <row r="426" spans="2:5" ht="12.75" x14ac:dyDescent="0.35">
      <c r="B426" s="3"/>
      <c r="C426" s="3"/>
      <c r="D426" s="3"/>
      <c r="E426" s="3"/>
    </row>
    <row r="427" spans="2:5" ht="12.75" x14ac:dyDescent="0.35">
      <c r="B427" s="3"/>
      <c r="C427" s="3"/>
      <c r="D427" s="3"/>
      <c r="E427" s="3"/>
    </row>
    <row r="428" spans="2:5" ht="12.75" x14ac:dyDescent="0.35">
      <c r="B428" s="3"/>
      <c r="C428" s="3"/>
      <c r="D428" s="3"/>
      <c r="E428" s="3"/>
    </row>
    <row r="429" spans="2:5" ht="12.75" x14ac:dyDescent="0.35">
      <c r="B429" s="3"/>
      <c r="C429" s="3"/>
      <c r="D429" s="3"/>
      <c r="E429" s="3"/>
    </row>
    <row r="430" spans="2:5" ht="12.75" x14ac:dyDescent="0.35">
      <c r="B430" s="3"/>
      <c r="C430" s="3"/>
      <c r="D430" s="3"/>
      <c r="E430" s="3"/>
    </row>
    <row r="431" spans="2:5" ht="12.75" x14ac:dyDescent="0.35">
      <c r="B431" s="3"/>
      <c r="C431" s="3"/>
      <c r="D431" s="3"/>
      <c r="E431" s="3"/>
    </row>
    <row r="432" spans="2:5" ht="12.75" x14ac:dyDescent="0.35">
      <c r="B432" s="3"/>
      <c r="C432" s="3"/>
      <c r="D432" s="3"/>
      <c r="E432" s="3"/>
    </row>
    <row r="433" spans="2:5" ht="12.75" x14ac:dyDescent="0.35">
      <c r="B433" s="3"/>
      <c r="C433" s="3"/>
      <c r="D433" s="3"/>
      <c r="E433" s="3"/>
    </row>
    <row r="434" spans="2:5" ht="12.75" x14ac:dyDescent="0.35">
      <c r="B434" s="3"/>
      <c r="C434" s="3"/>
      <c r="D434" s="3"/>
      <c r="E434" s="3"/>
    </row>
    <row r="435" spans="2:5" ht="12.75" x14ac:dyDescent="0.35">
      <c r="B435" s="3"/>
      <c r="C435" s="3"/>
      <c r="D435" s="3"/>
      <c r="E435" s="3"/>
    </row>
    <row r="436" spans="2:5" ht="12.75" x14ac:dyDescent="0.35">
      <c r="B436" s="3"/>
      <c r="C436" s="3"/>
      <c r="D436" s="3"/>
      <c r="E436" s="3"/>
    </row>
    <row r="437" spans="2:5" ht="12.75" x14ac:dyDescent="0.35">
      <c r="B437" s="3"/>
      <c r="C437" s="3"/>
      <c r="D437" s="3"/>
      <c r="E437" s="3"/>
    </row>
    <row r="438" spans="2:5" ht="12.75" x14ac:dyDescent="0.35">
      <c r="B438" s="3"/>
      <c r="C438" s="3"/>
      <c r="D438" s="3"/>
      <c r="E438" s="3"/>
    </row>
    <row r="439" spans="2:5" ht="12.75" x14ac:dyDescent="0.35">
      <c r="B439" s="3"/>
      <c r="C439" s="3"/>
      <c r="D439" s="3"/>
      <c r="E439" s="3"/>
    </row>
    <row r="440" spans="2:5" ht="12.75" x14ac:dyDescent="0.35">
      <c r="B440" s="3"/>
      <c r="C440" s="3"/>
      <c r="D440" s="3"/>
      <c r="E440" s="3"/>
    </row>
    <row r="441" spans="2:5" ht="12.75" x14ac:dyDescent="0.35">
      <c r="B441" s="3"/>
      <c r="C441" s="3"/>
      <c r="D441" s="3"/>
      <c r="E441" s="3"/>
    </row>
    <row r="442" spans="2:5" ht="12.75" x14ac:dyDescent="0.35">
      <c r="B442" s="3"/>
      <c r="C442" s="3"/>
      <c r="D442" s="3"/>
      <c r="E442" s="3"/>
    </row>
    <row r="443" spans="2:5" ht="12.75" x14ac:dyDescent="0.35">
      <c r="B443" s="3"/>
      <c r="C443" s="3"/>
      <c r="D443" s="3"/>
      <c r="E443" s="3"/>
    </row>
    <row r="444" spans="2:5" ht="12.75" x14ac:dyDescent="0.35">
      <c r="B444" s="3"/>
      <c r="C444" s="3"/>
      <c r="D444" s="3"/>
      <c r="E444" s="3"/>
    </row>
    <row r="445" spans="2:5" ht="12.75" x14ac:dyDescent="0.35">
      <c r="B445" s="3"/>
      <c r="C445" s="3"/>
      <c r="D445" s="3"/>
      <c r="E445" s="3"/>
    </row>
    <row r="446" spans="2:5" ht="12.75" x14ac:dyDescent="0.35">
      <c r="B446" s="3"/>
      <c r="C446" s="3"/>
      <c r="D446" s="3"/>
      <c r="E446" s="3"/>
    </row>
    <row r="447" spans="2:5" ht="12.75" x14ac:dyDescent="0.35">
      <c r="B447" s="3"/>
      <c r="C447" s="3"/>
      <c r="D447" s="3"/>
      <c r="E447" s="3"/>
    </row>
    <row r="448" spans="2:5" ht="12.75" x14ac:dyDescent="0.35">
      <c r="B448" s="3"/>
      <c r="C448" s="3"/>
      <c r="D448" s="3"/>
      <c r="E448" s="3"/>
    </row>
    <row r="449" spans="2:5" ht="12.75" x14ac:dyDescent="0.35">
      <c r="B449" s="3"/>
      <c r="C449" s="3"/>
      <c r="D449" s="3"/>
      <c r="E449" s="3"/>
    </row>
    <row r="450" spans="2:5" ht="12.75" x14ac:dyDescent="0.35">
      <c r="B450" s="3"/>
      <c r="C450" s="3"/>
      <c r="D450" s="3"/>
      <c r="E450" s="3"/>
    </row>
    <row r="451" spans="2:5" ht="12.75" x14ac:dyDescent="0.35">
      <c r="B451" s="3"/>
      <c r="C451" s="3"/>
      <c r="D451" s="3"/>
      <c r="E451" s="3"/>
    </row>
    <row r="452" spans="2:5" ht="12.75" x14ac:dyDescent="0.35">
      <c r="B452" s="3"/>
      <c r="C452" s="3"/>
      <c r="D452" s="3"/>
      <c r="E452" s="3"/>
    </row>
    <row r="453" spans="2:5" ht="12.75" x14ac:dyDescent="0.35">
      <c r="B453" s="3"/>
      <c r="C453" s="3"/>
      <c r="D453" s="3"/>
      <c r="E453" s="3"/>
    </row>
    <row r="454" spans="2:5" ht="12.75" x14ac:dyDescent="0.35">
      <c r="B454" s="3"/>
      <c r="C454" s="3"/>
      <c r="D454" s="3"/>
      <c r="E454" s="3"/>
    </row>
    <row r="455" spans="2:5" ht="12.75" x14ac:dyDescent="0.35">
      <c r="B455" s="3"/>
      <c r="C455" s="3"/>
      <c r="D455" s="3"/>
      <c r="E455" s="3"/>
    </row>
    <row r="456" spans="2:5" ht="12.75" x14ac:dyDescent="0.35">
      <c r="B456" s="3"/>
      <c r="C456" s="3"/>
      <c r="D456" s="3"/>
      <c r="E456" s="3"/>
    </row>
    <row r="457" spans="2:5" ht="12.75" x14ac:dyDescent="0.35">
      <c r="B457" s="3"/>
      <c r="C457" s="3"/>
      <c r="D457" s="3"/>
      <c r="E457" s="3"/>
    </row>
    <row r="458" spans="2:5" ht="12.75" x14ac:dyDescent="0.35">
      <c r="B458" s="3"/>
      <c r="C458" s="3"/>
      <c r="D458" s="3"/>
      <c r="E458" s="3"/>
    </row>
    <row r="459" spans="2:5" ht="12.75" x14ac:dyDescent="0.35">
      <c r="B459" s="3"/>
      <c r="C459" s="3"/>
      <c r="D459" s="3"/>
      <c r="E459" s="3"/>
    </row>
    <row r="460" spans="2:5" ht="12.75" x14ac:dyDescent="0.35">
      <c r="B460" s="3"/>
      <c r="C460" s="3"/>
      <c r="D460" s="3"/>
      <c r="E460" s="3"/>
    </row>
    <row r="461" spans="2:5" ht="12.75" x14ac:dyDescent="0.35">
      <c r="B461" s="3"/>
      <c r="C461" s="3"/>
      <c r="D461" s="3"/>
      <c r="E461" s="3"/>
    </row>
    <row r="462" spans="2:5" ht="12.75" x14ac:dyDescent="0.35">
      <c r="B462" s="3"/>
      <c r="C462" s="3"/>
      <c r="D462" s="3"/>
      <c r="E462" s="3"/>
    </row>
    <row r="463" spans="2:5" ht="12.75" x14ac:dyDescent="0.35">
      <c r="B463" s="3"/>
      <c r="C463" s="3"/>
      <c r="D463" s="3"/>
      <c r="E463" s="3"/>
    </row>
    <row r="464" spans="2:5" ht="12.75" x14ac:dyDescent="0.35">
      <c r="B464" s="3"/>
      <c r="C464" s="3"/>
      <c r="D464" s="3"/>
      <c r="E464" s="3"/>
    </row>
    <row r="465" spans="2:5" ht="12.75" x14ac:dyDescent="0.35">
      <c r="B465" s="3"/>
      <c r="C465" s="3"/>
      <c r="D465" s="3"/>
      <c r="E465" s="3"/>
    </row>
    <row r="466" spans="2:5" ht="12.75" x14ac:dyDescent="0.35">
      <c r="B466" s="3"/>
      <c r="C466" s="3"/>
      <c r="D466" s="3"/>
      <c r="E466" s="3"/>
    </row>
    <row r="467" spans="2:5" ht="12.75" x14ac:dyDescent="0.35">
      <c r="B467" s="3"/>
      <c r="C467" s="3"/>
      <c r="D467" s="3"/>
      <c r="E467" s="3"/>
    </row>
    <row r="468" spans="2:5" ht="12.75" x14ac:dyDescent="0.35">
      <c r="B468" s="3"/>
      <c r="C468" s="3"/>
      <c r="D468" s="3"/>
      <c r="E468" s="3"/>
    </row>
    <row r="469" spans="2:5" ht="12.75" x14ac:dyDescent="0.35">
      <c r="B469" s="3"/>
      <c r="C469" s="3"/>
      <c r="D469" s="3"/>
      <c r="E469" s="3"/>
    </row>
    <row r="470" spans="2:5" ht="12.75" x14ac:dyDescent="0.35">
      <c r="B470" s="3"/>
      <c r="C470" s="3"/>
      <c r="D470" s="3"/>
      <c r="E470" s="3"/>
    </row>
    <row r="471" spans="2:5" ht="12.75" x14ac:dyDescent="0.35">
      <c r="B471" s="3"/>
      <c r="C471" s="3"/>
      <c r="D471" s="3"/>
      <c r="E471" s="3"/>
    </row>
    <row r="472" spans="2:5" ht="12.75" x14ac:dyDescent="0.35">
      <c r="B472" s="3"/>
      <c r="C472" s="3"/>
      <c r="D472" s="3"/>
      <c r="E472" s="3"/>
    </row>
    <row r="473" spans="2:5" ht="12.75" x14ac:dyDescent="0.35">
      <c r="B473" s="3"/>
      <c r="C473" s="3"/>
      <c r="D473" s="3"/>
      <c r="E473" s="3"/>
    </row>
    <row r="474" spans="2:5" ht="12.75" x14ac:dyDescent="0.35">
      <c r="B474" s="3"/>
      <c r="C474" s="3"/>
      <c r="D474" s="3"/>
      <c r="E474" s="3"/>
    </row>
    <row r="475" spans="2:5" ht="12.75" x14ac:dyDescent="0.35">
      <c r="B475" s="3"/>
      <c r="C475" s="3"/>
      <c r="D475" s="3"/>
      <c r="E475" s="3"/>
    </row>
    <row r="476" spans="2:5" ht="12.75" x14ac:dyDescent="0.35">
      <c r="B476" s="3"/>
      <c r="C476" s="3"/>
      <c r="D476" s="3"/>
      <c r="E476" s="3"/>
    </row>
    <row r="477" spans="2:5" ht="12.75" x14ac:dyDescent="0.35">
      <c r="B477" s="3"/>
      <c r="C477" s="3"/>
      <c r="D477" s="3"/>
      <c r="E477" s="3"/>
    </row>
    <row r="478" spans="2:5" ht="12.75" x14ac:dyDescent="0.35">
      <c r="B478" s="3"/>
      <c r="C478" s="3"/>
      <c r="D478" s="3"/>
      <c r="E478" s="3"/>
    </row>
    <row r="479" spans="2:5" ht="12.75" x14ac:dyDescent="0.35">
      <c r="B479" s="3"/>
      <c r="C479" s="3"/>
      <c r="D479" s="3"/>
      <c r="E479" s="3"/>
    </row>
    <row r="480" spans="2:5" ht="12.75" x14ac:dyDescent="0.35">
      <c r="B480" s="3"/>
      <c r="C480" s="3"/>
      <c r="D480" s="3"/>
      <c r="E480" s="3"/>
    </row>
    <row r="481" spans="2:5" ht="12.75" x14ac:dyDescent="0.35">
      <c r="B481" s="3"/>
      <c r="C481" s="3"/>
      <c r="D481" s="3"/>
      <c r="E481" s="3"/>
    </row>
    <row r="482" spans="2:5" ht="12.75" x14ac:dyDescent="0.35">
      <c r="B482" s="3"/>
      <c r="C482" s="3"/>
      <c r="D482" s="3"/>
      <c r="E482" s="3"/>
    </row>
    <row r="483" spans="2:5" ht="12.75" x14ac:dyDescent="0.35">
      <c r="B483" s="3"/>
      <c r="C483" s="3"/>
      <c r="D483" s="3"/>
      <c r="E483" s="3"/>
    </row>
    <row r="484" spans="2:5" ht="12.75" x14ac:dyDescent="0.35">
      <c r="B484" s="3"/>
      <c r="C484" s="3"/>
      <c r="D484" s="3"/>
      <c r="E484" s="3"/>
    </row>
    <row r="485" spans="2:5" ht="12.75" x14ac:dyDescent="0.35">
      <c r="B485" s="3"/>
      <c r="C485" s="3"/>
      <c r="D485" s="3"/>
      <c r="E485" s="3"/>
    </row>
    <row r="486" spans="2:5" ht="12.75" x14ac:dyDescent="0.35">
      <c r="B486" s="3"/>
      <c r="C486" s="3"/>
      <c r="D486" s="3"/>
      <c r="E486" s="3"/>
    </row>
    <row r="487" spans="2:5" ht="12.75" x14ac:dyDescent="0.35">
      <c r="B487" s="3"/>
      <c r="C487" s="3"/>
      <c r="D487" s="3"/>
      <c r="E487" s="3"/>
    </row>
    <row r="488" spans="2:5" ht="12.75" x14ac:dyDescent="0.35">
      <c r="B488" s="3"/>
      <c r="C488" s="3"/>
      <c r="D488" s="3"/>
      <c r="E488" s="3"/>
    </row>
    <row r="489" spans="2:5" ht="12.75" x14ac:dyDescent="0.35">
      <c r="B489" s="3"/>
      <c r="C489" s="3"/>
      <c r="D489" s="3"/>
      <c r="E489" s="3"/>
    </row>
    <row r="490" spans="2:5" ht="12.75" x14ac:dyDescent="0.35">
      <c r="B490" s="3"/>
      <c r="C490" s="3"/>
      <c r="D490" s="3"/>
      <c r="E490" s="3"/>
    </row>
    <row r="491" spans="2:5" ht="12.75" x14ac:dyDescent="0.35">
      <c r="B491" s="3"/>
      <c r="C491" s="3"/>
      <c r="D491" s="3"/>
      <c r="E491" s="3"/>
    </row>
    <row r="492" spans="2:5" ht="12.75" x14ac:dyDescent="0.35">
      <c r="B492" s="3"/>
      <c r="C492" s="3"/>
      <c r="D492" s="3"/>
      <c r="E492" s="3"/>
    </row>
    <row r="493" spans="2:5" ht="12.75" x14ac:dyDescent="0.35">
      <c r="B493" s="3"/>
      <c r="C493" s="3"/>
      <c r="D493" s="3"/>
      <c r="E493" s="3"/>
    </row>
    <row r="494" spans="2:5" ht="12.75" x14ac:dyDescent="0.35">
      <c r="B494" s="3"/>
      <c r="C494" s="3"/>
      <c r="D494" s="3"/>
      <c r="E494" s="3"/>
    </row>
    <row r="495" spans="2:5" ht="12.75" x14ac:dyDescent="0.35">
      <c r="B495" s="3"/>
      <c r="C495" s="3"/>
      <c r="D495" s="3"/>
      <c r="E495" s="3"/>
    </row>
    <row r="496" spans="2:5" ht="12.75" x14ac:dyDescent="0.35">
      <c r="B496" s="3"/>
      <c r="C496" s="3"/>
      <c r="D496" s="3"/>
      <c r="E496" s="3"/>
    </row>
    <row r="497" spans="2:5" ht="12.75" x14ac:dyDescent="0.35">
      <c r="B497" s="3"/>
      <c r="C497" s="3"/>
      <c r="D497" s="3"/>
      <c r="E497" s="3"/>
    </row>
    <row r="498" spans="2:5" ht="12.75" x14ac:dyDescent="0.35">
      <c r="B498" s="3"/>
      <c r="C498" s="3"/>
      <c r="D498" s="3"/>
      <c r="E498" s="3"/>
    </row>
    <row r="499" spans="2:5" ht="12.75" x14ac:dyDescent="0.35">
      <c r="B499" s="3"/>
      <c r="C499" s="3"/>
      <c r="D499" s="3"/>
      <c r="E499" s="3"/>
    </row>
    <row r="500" spans="2:5" ht="12.75" x14ac:dyDescent="0.35">
      <c r="B500" s="3"/>
      <c r="C500" s="3"/>
      <c r="D500" s="3"/>
      <c r="E500" s="3"/>
    </row>
    <row r="501" spans="2:5" ht="12.75" x14ac:dyDescent="0.35">
      <c r="B501" s="3"/>
      <c r="C501" s="3"/>
      <c r="D501" s="3"/>
      <c r="E501" s="3"/>
    </row>
    <row r="502" spans="2:5" ht="12.75" x14ac:dyDescent="0.35">
      <c r="B502" s="3"/>
      <c r="C502" s="3"/>
      <c r="D502" s="3"/>
      <c r="E502" s="3"/>
    </row>
    <row r="503" spans="2:5" ht="12.75" x14ac:dyDescent="0.35">
      <c r="B503" s="3"/>
      <c r="C503" s="3"/>
      <c r="D503" s="3"/>
      <c r="E503" s="3"/>
    </row>
    <row r="504" spans="2:5" ht="12.75" x14ac:dyDescent="0.35">
      <c r="B504" s="3"/>
      <c r="C504" s="3"/>
      <c r="D504" s="3"/>
      <c r="E504" s="3"/>
    </row>
    <row r="505" spans="2:5" ht="12.75" x14ac:dyDescent="0.35">
      <c r="B505" s="3"/>
      <c r="C505" s="3"/>
      <c r="D505" s="3"/>
      <c r="E505" s="3"/>
    </row>
    <row r="506" spans="2:5" ht="12.75" x14ac:dyDescent="0.35">
      <c r="B506" s="3"/>
      <c r="C506" s="3"/>
      <c r="D506" s="3"/>
      <c r="E506" s="3"/>
    </row>
    <row r="507" spans="2:5" ht="12.75" x14ac:dyDescent="0.35">
      <c r="B507" s="3"/>
      <c r="C507" s="3"/>
      <c r="D507" s="3"/>
      <c r="E507" s="3"/>
    </row>
    <row r="508" spans="2:5" ht="12.75" x14ac:dyDescent="0.35">
      <c r="B508" s="3"/>
      <c r="C508" s="3"/>
      <c r="D508" s="3"/>
      <c r="E508" s="3"/>
    </row>
    <row r="509" spans="2:5" ht="12.75" x14ac:dyDescent="0.35">
      <c r="B509" s="3"/>
      <c r="C509" s="3"/>
      <c r="D509" s="3"/>
      <c r="E509" s="3"/>
    </row>
    <row r="510" spans="2:5" ht="12.75" x14ac:dyDescent="0.35">
      <c r="B510" s="3"/>
      <c r="C510" s="3"/>
      <c r="D510" s="3"/>
      <c r="E510" s="3"/>
    </row>
    <row r="511" spans="2:5" ht="12.75" x14ac:dyDescent="0.35">
      <c r="B511" s="3"/>
      <c r="C511" s="3"/>
      <c r="D511" s="3"/>
      <c r="E511" s="3"/>
    </row>
    <row r="512" spans="2:5" ht="12.75" x14ac:dyDescent="0.35">
      <c r="B512" s="3"/>
      <c r="C512" s="3"/>
      <c r="D512" s="3"/>
      <c r="E512" s="3"/>
    </row>
    <row r="513" spans="2:5" ht="12.75" x14ac:dyDescent="0.35">
      <c r="B513" s="3"/>
      <c r="C513" s="3"/>
      <c r="D513" s="3"/>
      <c r="E513" s="3"/>
    </row>
    <row r="514" spans="2:5" ht="12.75" x14ac:dyDescent="0.35">
      <c r="B514" s="3"/>
      <c r="C514" s="3"/>
      <c r="D514" s="3"/>
      <c r="E514" s="3"/>
    </row>
    <row r="515" spans="2:5" ht="12.75" x14ac:dyDescent="0.35">
      <c r="B515" s="3"/>
      <c r="C515" s="3"/>
      <c r="D515" s="3"/>
      <c r="E515" s="3"/>
    </row>
    <row r="516" spans="2:5" ht="12.75" x14ac:dyDescent="0.35">
      <c r="B516" s="3"/>
      <c r="C516" s="3"/>
      <c r="D516" s="3"/>
      <c r="E516" s="3"/>
    </row>
    <row r="517" spans="2:5" ht="12.75" x14ac:dyDescent="0.35">
      <c r="B517" s="3"/>
      <c r="C517" s="3"/>
      <c r="D517" s="3"/>
      <c r="E517" s="3"/>
    </row>
    <row r="518" spans="2:5" ht="12.75" x14ac:dyDescent="0.35">
      <c r="B518" s="3"/>
      <c r="C518" s="3"/>
      <c r="D518" s="3"/>
      <c r="E518" s="3"/>
    </row>
    <row r="519" spans="2:5" ht="12.75" x14ac:dyDescent="0.35">
      <c r="B519" s="3"/>
      <c r="C519" s="3"/>
      <c r="D519" s="3"/>
      <c r="E519" s="3"/>
    </row>
    <row r="520" spans="2:5" ht="12.75" x14ac:dyDescent="0.35">
      <c r="B520" s="3"/>
      <c r="C520" s="3"/>
      <c r="D520" s="3"/>
      <c r="E520" s="3"/>
    </row>
    <row r="521" spans="2:5" ht="12.75" x14ac:dyDescent="0.35">
      <c r="B521" s="3"/>
      <c r="C521" s="3"/>
      <c r="D521" s="3"/>
      <c r="E521" s="3"/>
    </row>
    <row r="522" spans="2:5" ht="12.75" x14ac:dyDescent="0.35">
      <c r="B522" s="3"/>
      <c r="C522" s="3"/>
      <c r="D522" s="3"/>
      <c r="E522" s="3"/>
    </row>
    <row r="523" spans="2:5" ht="12.75" x14ac:dyDescent="0.35">
      <c r="B523" s="3"/>
      <c r="C523" s="3"/>
      <c r="D523" s="3"/>
      <c r="E523" s="3"/>
    </row>
    <row r="524" spans="2:5" ht="12.75" x14ac:dyDescent="0.35">
      <c r="B524" s="3"/>
      <c r="C524" s="3"/>
      <c r="D524" s="3"/>
      <c r="E524" s="3"/>
    </row>
    <row r="525" spans="2:5" ht="12.75" x14ac:dyDescent="0.35">
      <c r="B525" s="3"/>
      <c r="C525" s="3"/>
      <c r="D525" s="3"/>
      <c r="E525" s="3"/>
    </row>
    <row r="526" spans="2:5" ht="12.75" x14ac:dyDescent="0.35">
      <c r="B526" s="3"/>
      <c r="C526" s="3"/>
      <c r="D526" s="3"/>
      <c r="E526" s="3"/>
    </row>
    <row r="527" spans="2:5" ht="12.75" x14ac:dyDescent="0.35">
      <c r="B527" s="3"/>
      <c r="C527" s="3"/>
      <c r="D527" s="3"/>
      <c r="E527" s="3"/>
    </row>
    <row r="528" spans="2:5" ht="12.75" x14ac:dyDescent="0.35">
      <c r="B528" s="3"/>
      <c r="C528" s="3"/>
      <c r="D528" s="3"/>
      <c r="E528" s="3"/>
    </row>
    <row r="529" spans="2:5" ht="12.75" x14ac:dyDescent="0.35">
      <c r="B529" s="3"/>
      <c r="C529" s="3"/>
      <c r="D529" s="3"/>
      <c r="E529" s="3"/>
    </row>
    <row r="530" spans="2:5" ht="12.75" x14ac:dyDescent="0.35">
      <c r="B530" s="3"/>
      <c r="C530" s="3"/>
      <c r="D530" s="3"/>
      <c r="E530" s="3"/>
    </row>
    <row r="531" spans="2:5" ht="12.75" x14ac:dyDescent="0.35">
      <c r="B531" s="3"/>
      <c r="C531" s="3"/>
      <c r="D531" s="3"/>
      <c r="E531" s="3"/>
    </row>
    <row r="532" spans="2:5" ht="12.75" x14ac:dyDescent="0.35">
      <c r="B532" s="3"/>
      <c r="C532" s="3"/>
      <c r="D532" s="3"/>
      <c r="E532" s="3"/>
    </row>
    <row r="533" spans="2:5" ht="12.75" x14ac:dyDescent="0.35">
      <c r="B533" s="3"/>
      <c r="C533" s="3"/>
      <c r="D533" s="3"/>
      <c r="E533" s="3"/>
    </row>
    <row r="534" spans="2:5" ht="12.75" x14ac:dyDescent="0.35">
      <c r="B534" s="3"/>
      <c r="C534" s="3"/>
      <c r="D534" s="3"/>
      <c r="E534" s="3"/>
    </row>
    <row r="535" spans="2:5" ht="12.75" x14ac:dyDescent="0.35">
      <c r="B535" s="3"/>
      <c r="C535" s="3"/>
      <c r="D535" s="3"/>
      <c r="E535" s="3"/>
    </row>
    <row r="536" spans="2:5" ht="12.75" x14ac:dyDescent="0.35">
      <c r="B536" s="3"/>
      <c r="C536" s="3"/>
      <c r="D536" s="3"/>
      <c r="E536" s="3"/>
    </row>
    <row r="537" spans="2:5" ht="12.75" x14ac:dyDescent="0.35">
      <c r="B537" s="3"/>
      <c r="C537" s="3"/>
      <c r="D537" s="3"/>
      <c r="E537" s="3"/>
    </row>
    <row r="538" spans="2:5" ht="12.75" x14ac:dyDescent="0.35">
      <c r="B538" s="3"/>
      <c r="C538" s="3"/>
      <c r="D538" s="3"/>
      <c r="E538" s="3"/>
    </row>
    <row r="539" spans="2:5" ht="12.75" x14ac:dyDescent="0.35">
      <c r="B539" s="3"/>
      <c r="C539" s="3"/>
      <c r="D539" s="3"/>
      <c r="E539" s="3"/>
    </row>
    <row r="540" spans="2:5" ht="12.75" x14ac:dyDescent="0.35">
      <c r="B540" s="3"/>
      <c r="C540" s="3"/>
      <c r="D540" s="3"/>
      <c r="E540" s="3"/>
    </row>
    <row r="541" spans="2:5" ht="12.75" x14ac:dyDescent="0.35">
      <c r="B541" s="3"/>
      <c r="C541" s="3"/>
      <c r="D541" s="3"/>
      <c r="E541" s="3"/>
    </row>
    <row r="542" spans="2:5" ht="12.75" x14ac:dyDescent="0.35">
      <c r="B542" s="3"/>
      <c r="C542" s="3"/>
      <c r="D542" s="3"/>
      <c r="E542" s="3"/>
    </row>
    <row r="543" spans="2:5" ht="12.75" x14ac:dyDescent="0.35">
      <c r="B543" s="3"/>
      <c r="C543" s="3"/>
      <c r="D543" s="3"/>
      <c r="E543" s="3"/>
    </row>
    <row r="544" spans="2:5" ht="12.75" x14ac:dyDescent="0.35">
      <c r="B544" s="3"/>
      <c r="C544" s="3"/>
      <c r="D544" s="3"/>
      <c r="E544" s="3"/>
    </row>
    <row r="545" spans="2:5" ht="12.75" x14ac:dyDescent="0.35">
      <c r="B545" s="3"/>
      <c r="C545" s="3"/>
      <c r="D545" s="3"/>
      <c r="E545" s="3"/>
    </row>
    <row r="546" spans="2:5" ht="12.75" x14ac:dyDescent="0.35">
      <c r="B546" s="3"/>
      <c r="C546" s="3"/>
      <c r="D546" s="3"/>
      <c r="E546" s="3"/>
    </row>
    <row r="547" spans="2:5" ht="12.75" x14ac:dyDescent="0.35">
      <c r="B547" s="3"/>
      <c r="C547" s="3"/>
      <c r="D547" s="3"/>
      <c r="E547" s="3"/>
    </row>
    <row r="548" spans="2:5" ht="12.75" x14ac:dyDescent="0.35">
      <c r="B548" s="3"/>
      <c r="C548" s="3"/>
      <c r="D548" s="3"/>
      <c r="E548" s="3"/>
    </row>
    <row r="549" spans="2:5" ht="12.75" x14ac:dyDescent="0.35">
      <c r="B549" s="3"/>
      <c r="C549" s="3"/>
      <c r="D549" s="3"/>
      <c r="E549" s="3"/>
    </row>
    <row r="550" spans="2:5" ht="12.75" x14ac:dyDescent="0.35">
      <c r="B550" s="3"/>
      <c r="C550" s="3"/>
      <c r="D550" s="3"/>
      <c r="E550" s="3"/>
    </row>
    <row r="551" spans="2:5" ht="12.75" x14ac:dyDescent="0.35">
      <c r="B551" s="3"/>
      <c r="C551" s="3"/>
      <c r="D551" s="3"/>
      <c r="E551" s="3"/>
    </row>
    <row r="552" spans="2:5" ht="12.75" x14ac:dyDescent="0.35">
      <c r="B552" s="3"/>
      <c r="C552" s="3"/>
      <c r="D552" s="3"/>
      <c r="E552" s="3"/>
    </row>
    <row r="553" spans="2:5" ht="12.75" x14ac:dyDescent="0.35">
      <c r="B553" s="3"/>
      <c r="C553" s="3"/>
      <c r="D553" s="3"/>
      <c r="E553" s="3"/>
    </row>
    <row r="554" spans="2:5" ht="12.75" x14ac:dyDescent="0.35">
      <c r="B554" s="3"/>
      <c r="C554" s="3"/>
      <c r="D554" s="3"/>
      <c r="E554" s="3"/>
    </row>
    <row r="555" spans="2:5" ht="12.75" x14ac:dyDescent="0.35">
      <c r="B555" s="3"/>
      <c r="C555" s="3"/>
      <c r="D555" s="3"/>
      <c r="E555" s="3"/>
    </row>
    <row r="556" spans="2:5" ht="12.75" x14ac:dyDescent="0.35">
      <c r="B556" s="3"/>
      <c r="C556" s="3"/>
      <c r="D556" s="3"/>
      <c r="E556" s="3"/>
    </row>
    <row r="557" spans="2:5" ht="12.75" x14ac:dyDescent="0.35">
      <c r="B557" s="3"/>
      <c r="C557" s="3"/>
      <c r="D557" s="3"/>
      <c r="E557" s="3"/>
    </row>
    <row r="558" spans="2:5" ht="12.75" x14ac:dyDescent="0.35">
      <c r="B558" s="3"/>
      <c r="C558" s="3"/>
      <c r="D558" s="3"/>
      <c r="E558" s="3"/>
    </row>
    <row r="559" spans="2:5" ht="12.75" x14ac:dyDescent="0.35">
      <c r="B559" s="3"/>
      <c r="C559" s="3"/>
      <c r="D559" s="3"/>
      <c r="E559" s="3"/>
    </row>
    <row r="560" spans="2:5" ht="12.75" x14ac:dyDescent="0.35">
      <c r="B560" s="3"/>
      <c r="C560" s="3"/>
      <c r="D560" s="3"/>
      <c r="E560" s="3"/>
    </row>
    <row r="561" spans="2:5" ht="12.75" x14ac:dyDescent="0.35">
      <c r="B561" s="3"/>
      <c r="C561" s="3"/>
      <c r="D561" s="3"/>
      <c r="E561" s="3"/>
    </row>
    <row r="562" spans="2:5" ht="12.75" x14ac:dyDescent="0.35">
      <c r="B562" s="3"/>
      <c r="C562" s="3"/>
      <c r="D562" s="3"/>
      <c r="E562" s="3"/>
    </row>
    <row r="563" spans="2:5" ht="12.75" x14ac:dyDescent="0.35">
      <c r="B563" s="3"/>
      <c r="C563" s="3"/>
      <c r="D563" s="3"/>
      <c r="E563" s="3"/>
    </row>
    <row r="564" spans="2:5" ht="12.75" x14ac:dyDescent="0.35">
      <c r="B564" s="3"/>
      <c r="C564" s="3"/>
      <c r="D564" s="3"/>
      <c r="E564" s="3"/>
    </row>
    <row r="565" spans="2:5" ht="12.75" x14ac:dyDescent="0.35">
      <c r="B565" s="3"/>
      <c r="C565" s="3"/>
      <c r="D565" s="3"/>
      <c r="E565" s="3"/>
    </row>
    <row r="566" spans="2:5" ht="12.75" x14ac:dyDescent="0.35">
      <c r="B566" s="3"/>
      <c r="C566" s="3"/>
      <c r="D566" s="3"/>
      <c r="E566" s="3"/>
    </row>
    <row r="567" spans="2:5" ht="12.75" x14ac:dyDescent="0.35">
      <c r="B567" s="3"/>
      <c r="C567" s="3"/>
      <c r="D567" s="3"/>
      <c r="E567" s="3"/>
    </row>
    <row r="568" spans="2:5" ht="12.75" x14ac:dyDescent="0.35">
      <c r="B568" s="3"/>
      <c r="C568" s="3"/>
      <c r="D568" s="3"/>
      <c r="E568" s="3"/>
    </row>
    <row r="569" spans="2:5" ht="12.75" x14ac:dyDescent="0.35">
      <c r="B569" s="3"/>
      <c r="C569" s="3"/>
      <c r="D569" s="3"/>
      <c r="E569" s="3"/>
    </row>
    <row r="570" spans="2:5" ht="12.75" x14ac:dyDescent="0.35">
      <c r="B570" s="3"/>
      <c r="C570" s="3"/>
      <c r="D570" s="3"/>
      <c r="E570" s="3"/>
    </row>
    <row r="571" spans="2:5" ht="12.75" x14ac:dyDescent="0.35">
      <c r="B571" s="3"/>
      <c r="C571" s="3"/>
      <c r="D571" s="3"/>
      <c r="E571" s="3"/>
    </row>
    <row r="572" spans="2:5" ht="12.75" x14ac:dyDescent="0.35">
      <c r="B572" s="3"/>
      <c r="C572" s="3"/>
      <c r="D572" s="3"/>
      <c r="E572" s="3"/>
    </row>
    <row r="573" spans="2:5" ht="12.75" x14ac:dyDescent="0.35">
      <c r="B573" s="3"/>
      <c r="C573" s="3"/>
      <c r="D573" s="3"/>
      <c r="E573" s="3"/>
    </row>
    <row r="574" spans="2:5" ht="12.75" x14ac:dyDescent="0.35">
      <c r="B574" s="3"/>
      <c r="C574" s="3"/>
      <c r="D574" s="3"/>
      <c r="E574" s="3"/>
    </row>
    <row r="575" spans="2:5" ht="12.75" x14ac:dyDescent="0.35">
      <c r="B575" s="3"/>
      <c r="C575" s="3"/>
      <c r="D575" s="3"/>
      <c r="E575" s="3"/>
    </row>
    <row r="576" spans="2:5" ht="12.75" x14ac:dyDescent="0.35">
      <c r="B576" s="3"/>
      <c r="C576" s="3"/>
      <c r="D576" s="3"/>
      <c r="E576" s="3"/>
    </row>
    <row r="577" spans="2:5" ht="12.75" x14ac:dyDescent="0.35">
      <c r="B577" s="3"/>
      <c r="C577" s="3"/>
      <c r="D577" s="3"/>
      <c r="E577" s="3"/>
    </row>
    <row r="578" spans="2:5" ht="12.75" x14ac:dyDescent="0.35">
      <c r="B578" s="3"/>
      <c r="C578" s="3"/>
      <c r="D578" s="3"/>
      <c r="E578" s="3"/>
    </row>
    <row r="579" spans="2:5" ht="12.75" x14ac:dyDescent="0.35">
      <c r="B579" s="3"/>
      <c r="C579" s="3"/>
      <c r="D579" s="3"/>
      <c r="E579" s="3"/>
    </row>
    <row r="580" spans="2:5" ht="12.75" x14ac:dyDescent="0.35">
      <c r="B580" s="3"/>
      <c r="C580" s="3"/>
      <c r="D580" s="3"/>
      <c r="E580" s="3"/>
    </row>
    <row r="581" spans="2:5" ht="12.75" x14ac:dyDescent="0.35">
      <c r="B581" s="3"/>
      <c r="C581" s="3"/>
      <c r="D581" s="3"/>
      <c r="E581" s="3"/>
    </row>
    <row r="582" spans="2:5" ht="12.75" x14ac:dyDescent="0.35">
      <c r="B582" s="3"/>
      <c r="C582" s="3"/>
      <c r="D582" s="3"/>
      <c r="E582" s="3"/>
    </row>
    <row r="583" spans="2:5" ht="12.75" x14ac:dyDescent="0.35">
      <c r="B583" s="3"/>
      <c r="C583" s="3"/>
      <c r="D583" s="3"/>
      <c r="E583" s="3"/>
    </row>
    <row r="584" spans="2:5" ht="12.75" x14ac:dyDescent="0.35">
      <c r="B584" s="3"/>
      <c r="C584" s="3"/>
      <c r="D584" s="3"/>
      <c r="E584" s="3"/>
    </row>
    <row r="585" spans="2:5" ht="12.75" x14ac:dyDescent="0.35">
      <c r="B585" s="3"/>
      <c r="C585" s="3"/>
      <c r="D585" s="3"/>
      <c r="E585" s="3"/>
    </row>
    <row r="586" spans="2:5" ht="12.75" x14ac:dyDescent="0.35">
      <c r="B586" s="3"/>
      <c r="C586" s="3"/>
      <c r="D586" s="3"/>
      <c r="E586" s="3"/>
    </row>
    <row r="587" spans="2:5" ht="12.75" x14ac:dyDescent="0.35">
      <c r="B587" s="3"/>
      <c r="C587" s="3"/>
      <c r="D587" s="3"/>
      <c r="E587" s="3"/>
    </row>
    <row r="588" spans="2:5" ht="12.75" x14ac:dyDescent="0.35">
      <c r="B588" s="3"/>
      <c r="C588" s="3"/>
      <c r="D588" s="3"/>
      <c r="E588" s="3"/>
    </row>
    <row r="589" spans="2:5" ht="12.75" x14ac:dyDescent="0.35">
      <c r="B589" s="3"/>
      <c r="C589" s="3"/>
      <c r="D589" s="3"/>
      <c r="E589" s="3"/>
    </row>
    <row r="590" spans="2:5" ht="12.75" x14ac:dyDescent="0.35">
      <c r="B590" s="3"/>
      <c r="C590" s="3"/>
      <c r="D590" s="3"/>
      <c r="E590" s="3"/>
    </row>
    <row r="591" spans="2:5" ht="12.75" x14ac:dyDescent="0.35">
      <c r="B591" s="3"/>
      <c r="C591" s="3"/>
      <c r="D591" s="3"/>
      <c r="E591" s="3"/>
    </row>
    <row r="592" spans="2:5" ht="12.75" x14ac:dyDescent="0.35">
      <c r="B592" s="3"/>
      <c r="C592" s="3"/>
      <c r="D592" s="3"/>
      <c r="E592" s="3"/>
    </row>
    <row r="593" spans="2:5" ht="12.75" x14ac:dyDescent="0.35">
      <c r="B593" s="3"/>
      <c r="C593" s="3"/>
      <c r="D593" s="3"/>
      <c r="E593" s="3"/>
    </row>
    <row r="594" spans="2:5" ht="12.75" x14ac:dyDescent="0.35">
      <c r="B594" s="3"/>
      <c r="C594" s="3"/>
      <c r="D594" s="3"/>
      <c r="E594" s="3"/>
    </row>
    <row r="595" spans="2:5" ht="12.75" x14ac:dyDescent="0.35">
      <c r="B595" s="3"/>
      <c r="C595" s="3"/>
      <c r="D595" s="3"/>
      <c r="E595" s="3"/>
    </row>
    <row r="596" spans="2:5" ht="12.75" x14ac:dyDescent="0.35">
      <c r="B596" s="3"/>
      <c r="C596" s="3"/>
      <c r="D596" s="3"/>
      <c r="E596" s="3"/>
    </row>
    <row r="597" spans="2:5" ht="12.75" x14ac:dyDescent="0.35">
      <c r="B597" s="3"/>
      <c r="C597" s="3"/>
      <c r="D597" s="3"/>
      <c r="E597" s="3"/>
    </row>
    <row r="598" spans="2:5" ht="12.75" x14ac:dyDescent="0.35">
      <c r="B598" s="3"/>
      <c r="C598" s="3"/>
      <c r="D598" s="3"/>
      <c r="E598" s="3"/>
    </row>
    <row r="599" spans="2:5" ht="12.75" x14ac:dyDescent="0.35">
      <c r="B599" s="3"/>
      <c r="C599" s="3"/>
      <c r="D599" s="3"/>
      <c r="E599" s="3"/>
    </row>
    <row r="600" spans="2:5" ht="12.75" x14ac:dyDescent="0.35">
      <c r="B600" s="3"/>
      <c r="C600" s="3"/>
      <c r="D600" s="3"/>
      <c r="E600" s="3"/>
    </row>
    <row r="601" spans="2:5" ht="12.75" x14ac:dyDescent="0.35">
      <c r="B601" s="3"/>
      <c r="C601" s="3"/>
      <c r="D601" s="3"/>
      <c r="E601" s="3"/>
    </row>
    <row r="602" spans="2:5" ht="12.75" x14ac:dyDescent="0.35">
      <c r="B602" s="3"/>
      <c r="C602" s="3"/>
      <c r="D602" s="3"/>
      <c r="E602" s="3"/>
    </row>
    <row r="603" spans="2:5" ht="12.75" x14ac:dyDescent="0.35">
      <c r="B603" s="3"/>
      <c r="C603" s="3"/>
      <c r="D603" s="3"/>
      <c r="E603" s="3"/>
    </row>
    <row r="604" spans="2:5" ht="12.75" x14ac:dyDescent="0.35">
      <c r="B604" s="3"/>
      <c r="C604" s="3"/>
      <c r="D604" s="3"/>
      <c r="E604" s="3"/>
    </row>
    <row r="605" spans="2:5" ht="12.75" x14ac:dyDescent="0.35">
      <c r="B605" s="3"/>
      <c r="C605" s="3"/>
      <c r="D605" s="3"/>
      <c r="E605" s="3"/>
    </row>
    <row r="606" spans="2:5" ht="12.75" x14ac:dyDescent="0.35">
      <c r="B606" s="3"/>
      <c r="C606" s="3"/>
      <c r="D606" s="3"/>
      <c r="E606" s="3"/>
    </row>
    <row r="607" spans="2:5" ht="12.75" x14ac:dyDescent="0.35">
      <c r="B607" s="3"/>
      <c r="C607" s="3"/>
      <c r="D607" s="3"/>
      <c r="E607" s="3"/>
    </row>
    <row r="608" spans="2:5" ht="12.75" x14ac:dyDescent="0.35">
      <c r="B608" s="3"/>
      <c r="C608" s="3"/>
      <c r="D608" s="3"/>
      <c r="E608" s="3"/>
    </row>
    <row r="609" spans="2:5" ht="12.75" x14ac:dyDescent="0.35">
      <c r="B609" s="3"/>
      <c r="C609" s="3"/>
      <c r="D609" s="3"/>
      <c r="E609" s="3"/>
    </row>
    <row r="610" spans="2:5" ht="12.75" x14ac:dyDescent="0.35">
      <c r="B610" s="3"/>
      <c r="C610" s="3"/>
      <c r="D610" s="3"/>
      <c r="E610" s="3"/>
    </row>
    <row r="611" spans="2:5" ht="12.75" x14ac:dyDescent="0.35">
      <c r="B611" s="3"/>
      <c r="C611" s="3"/>
      <c r="D611" s="3"/>
      <c r="E611" s="3"/>
    </row>
    <row r="612" spans="2:5" ht="12.75" x14ac:dyDescent="0.35">
      <c r="B612" s="3"/>
      <c r="C612" s="3"/>
      <c r="D612" s="3"/>
      <c r="E612" s="3"/>
    </row>
    <row r="613" spans="2:5" ht="12.75" x14ac:dyDescent="0.35">
      <c r="B613" s="3"/>
      <c r="C613" s="3"/>
      <c r="D613" s="3"/>
      <c r="E613" s="3"/>
    </row>
    <row r="614" spans="2:5" ht="12.75" x14ac:dyDescent="0.35">
      <c r="B614" s="3"/>
      <c r="C614" s="3"/>
      <c r="D614" s="3"/>
      <c r="E614" s="3"/>
    </row>
    <row r="615" spans="2:5" ht="12.75" x14ac:dyDescent="0.35">
      <c r="B615" s="3"/>
      <c r="C615" s="3"/>
      <c r="D615" s="3"/>
      <c r="E615" s="3"/>
    </row>
    <row r="616" spans="2:5" ht="12.75" x14ac:dyDescent="0.35">
      <c r="B616" s="3"/>
      <c r="C616" s="3"/>
      <c r="D616" s="3"/>
      <c r="E616" s="3"/>
    </row>
    <row r="617" spans="2:5" ht="12.75" x14ac:dyDescent="0.35">
      <c r="B617" s="3"/>
      <c r="C617" s="3"/>
      <c r="D617" s="3"/>
      <c r="E617" s="3"/>
    </row>
    <row r="618" spans="2:5" ht="12.75" x14ac:dyDescent="0.35">
      <c r="B618" s="3"/>
      <c r="C618" s="3"/>
      <c r="D618" s="3"/>
      <c r="E618" s="3"/>
    </row>
    <row r="619" spans="2:5" ht="12.75" x14ac:dyDescent="0.35">
      <c r="B619" s="3"/>
      <c r="C619" s="3"/>
      <c r="D619" s="3"/>
      <c r="E619" s="3"/>
    </row>
    <row r="620" spans="2:5" ht="12.75" x14ac:dyDescent="0.35">
      <c r="B620" s="3"/>
      <c r="C620" s="3"/>
      <c r="D620" s="3"/>
      <c r="E620" s="3"/>
    </row>
    <row r="621" spans="2:5" ht="12.75" x14ac:dyDescent="0.35">
      <c r="B621" s="3"/>
      <c r="C621" s="3"/>
      <c r="D621" s="3"/>
      <c r="E621" s="3"/>
    </row>
    <row r="622" spans="2:5" ht="12.75" x14ac:dyDescent="0.35">
      <c r="B622" s="3"/>
      <c r="C622" s="3"/>
      <c r="D622" s="3"/>
      <c r="E622" s="3"/>
    </row>
    <row r="623" spans="2:5" ht="12.75" x14ac:dyDescent="0.35">
      <c r="B623" s="3"/>
      <c r="C623" s="3"/>
      <c r="D623" s="3"/>
      <c r="E623" s="3"/>
    </row>
    <row r="624" spans="2:5" ht="12.75" x14ac:dyDescent="0.35">
      <c r="B624" s="3"/>
      <c r="C624" s="3"/>
      <c r="D624" s="3"/>
      <c r="E624" s="3"/>
    </row>
    <row r="625" spans="2:5" ht="12.75" x14ac:dyDescent="0.35">
      <c r="B625" s="3"/>
      <c r="C625" s="3"/>
      <c r="D625" s="3"/>
      <c r="E625" s="3"/>
    </row>
    <row r="626" spans="2:5" ht="12.75" x14ac:dyDescent="0.35">
      <c r="B626" s="3"/>
      <c r="C626" s="3"/>
      <c r="D626" s="3"/>
      <c r="E626" s="3"/>
    </row>
    <row r="627" spans="2:5" ht="12.75" x14ac:dyDescent="0.35">
      <c r="B627" s="3"/>
      <c r="C627" s="3"/>
      <c r="D627" s="3"/>
      <c r="E627" s="3"/>
    </row>
    <row r="628" spans="2:5" ht="12.75" x14ac:dyDescent="0.35">
      <c r="B628" s="3"/>
      <c r="C628" s="3"/>
      <c r="D628" s="3"/>
      <c r="E628" s="3"/>
    </row>
    <row r="629" spans="2:5" ht="12.75" x14ac:dyDescent="0.35">
      <c r="B629" s="3"/>
      <c r="C629" s="3"/>
      <c r="D629" s="3"/>
      <c r="E629" s="3"/>
    </row>
    <row r="630" spans="2:5" ht="12.75" x14ac:dyDescent="0.35">
      <c r="B630" s="3"/>
      <c r="C630" s="3"/>
      <c r="D630" s="3"/>
      <c r="E630" s="3"/>
    </row>
    <row r="631" spans="2:5" ht="12.75" x14ac:dyDescent="0.35">
      <c r="B631" s="3"/>
      <c r="C631" s="3"/>
      <c r="D631" s="3"/>
      <c r="E631" s="3"/>
    </row>
    <row r="632" spans="2:5" ht="12.75" x14ac:dyDescent="0.35">
      <c r="B632" s="3"/>
      <c r="C632" s="3"/>
      <c r="D632" s="3"/>
      <c r="E632" s="3"/>
    </row>
    <row r="633" spans="2:5" ht="12.75" x14ac:dyDescent="0.35">
      <c r="B633" s="3"/>
      <c r="C633" s="3"/>
      <c r="D633" s="3"/>
      <c r="E633" s="3"/>
    </row>
    <row r="634" spans="2:5" ht="12.75" x14ac:dyDescent="0.35">
      <c r="B634" s="3"/>
      <c r="C634" s="3"/>
      <c r="D634" s="3"/>
      <c r="E634" s="3"/>
    </row>
    <row r="635" spans="2:5" ht="12.75" x14ac:dyDescent="0.35">
      <c r="B635" s="3"/>
      <c r="C635" s="3"/>
      <c r="D635" s="3"/>
      <c r="E635" s="3"/>
    </row>
    <row r="636" spans="2:5" ht="12.75" x14ac:dyDescent="0.35">
      <c r="B636" s="3"/>
      <c r="C636" s="3"/>
      <c r="D636" s="3"/>
      <c r="E636" s="3"/>
    </row>
    <row r="637" spans="2:5" ht="12.75" x14ac:dyDescent="0.35">
      <c r="B637" s="3"/>
      <c r="C637" s="3"/>
      <c r="D637" s="3"/>
      <c r="E637" s="3"/>
    </row>
    <row r="638" spans="2:5" ht="12.75" x14ac:dyDescent="0.35">
      <c r="B638" s="3"/>
      <c r="C638" s="3"/>
      <c r="D638" s="3"/>
      <c r="E638" s="3"/>
    </row>
    <row r="639" spans="2:5" ht="12.75" x14ac:dyDescent="0.35">
      <c r="B639" s="3"/>
      <c r="C639" s="3"/>
      <c r="D639" s="3"/>
      <c r="E639" s="3"/>
    </row>
    <row r="640" spans="2:5" ht="12.75" x14ac:dyDescent="0.35">
      <c r="B640" s="3"/>
      <c r="C640" s="3"/>
      <c r="D640" s="3"/>
      <c r="E640" s="3"/>
    </row>
    <row r="641" spans="2:5" ht="12.75" x14ac:dyDescent="0.35">
      <c r="B641" s="3"/>
      <c r="C641" s="3"/>
      <c r="D641" s="3"/>
      <c r="E641" s="3"/>
    </row>
    <row r="642" spans="2:5" ht="12.75" x14ac:dyDescent="0.35">
      <c r="B642" s="3"/>
      <c r="C642" s="3"/>
      <c r="D642" s="3"/>
      <c r="E642" s="3"/>
    </row>
    <row r="643" spans="2:5" ht="12.75" x14ac:dyDescent="0.35">
      <c r="B643" s="3"/>
      <c r="C643" s="3"/>
      <c r="D643" s="3"/>
      <c r="E643" s="3"/>
    </row>
    <row r="644" spans="2:5" ht="12.75" x14ac:dyDescent="0.35">
      <c r="B644" s="3"/>
      <c r="C644" s="3"/>
      <c r="D644" s="3"/>
      <c r="E644" s="3"/>
    </row>
    <row r="645" spans="2:5" ht="12.75" x14ac:dyDescent="0.35">
      <c r="B645" s="3"/>
      <c r="C645" s="3"/>
      <c r="D645" s="3"/>
      <c r="E645" s="3"/>
    </row>
    <row r="646" spans="2:5" ht="12.75" x14ac:dyDescent="0.35">
      <c r="B646" s="3"/>
      <c r="C646" s="3"/>
      <c r="D646" s="3"/>
      <c r="E646" s="3"/>
    </row>
    <row r="647" spans="2:5" ht="12.75" x14ac:dyDescent="0.35">
      <c r="B647" s="3"/>
      <c r="C647" s="3"/>
      <c r="D647" s="3"/>
      <c r="E647" s="3"/>
    </row>
    <row r="648" spans="2:5" ht="12.75" x14ac:dyDescent="0.35">
      <c r="B648" s="3"/>
      <c r="C648" s="3"/>
      <c r="D648" s="3"/>
      <c r="E648" s="3"/>
    </row>
    <row r="649" spans="2:5" ht="12.75" x14ac:dyDescent="0.35">
      <c r="B649" s="3"/>
      <c r="C649" s="3"/>
      <c r="D649" s="3"/>
      <c r="E649" s="3"/>
    </row>
    <row r="650" spans="2:5" ht="12.75" x14ac:dyDescent="0.35">
      <c r="B650" s="3"/>
      <c r="C650" s="3"/>
      <c r="D650" s="3"/>
      <c r="E650" s="3"/>
    </row>
    <row r="651" spans="2:5" ht="12.75" x14ac:dyDescent="0.35">
      <c r="B651" s="3"/>
      <c r="C651" s="3"/>
      <c r="D651" s="3"/>
      <c r="E651" s="3"/>
    </row>
    <row r="652" spans="2:5" ht="12.75" x14ac:dyDescent="0.35">
      <c r="B652" s="3"/>
      <c r="C652" s="3"/>
      <c r="D652" s="3"/>
      <c r="E652" s="3"/>
    </row>
    <row r="653" spans="2:5" ht="12.75" x14ac:dyDescent="0.35">
      <c r="B653" s="3"/>
      <c r="C653" s="3"/>
      <c r="D653" s="3"/>
      <c r="E653" s="3"/>
    </row>
    <row r="654" spans="2:5" ht="12.75" x14ac:dyDescent="0.35">
      <c r="B654" s="3"/>
      <c r="C654" s="3"/>
      <c r="D654" s="3"/>
      <c r="E654" s="3"/>
    </row>
    <row r="655" spans="2:5" ht="12.75" x14ac:dyDescent="0.35">
      <c r="B655" s="3"/>
      <c r="C655" s="3"/>
      <c r="D655" s="3"/>
      <c r="E655" s="3"/>
    </row>
    <row r="656" spans="2:5" ht="12.75" x14ac:dyDescent="0.35">
      <c r="B656" s="3"/>
      <c r="C656" s="3"/>
      <c r="D656" s="3"/>
      <c r="E656" s="3"/>
    </row>
    <row r="657" spans="2:5" ht="12.75" x14ac:dyDescent="0.35">
      <c r="B657" s="3"/>
      <c r="C657" s="3"/>
      <c r="D657" s="3"/>
      <c r="E657" s="3"/>
    </row>
    <row r="658" spans="2:5" ht="12.75" x14ac:dyDescent="0.35">
      <c r="B658" s="3"/>
      <c r="C658" s="3"/>
      <c r="D658" s="3"/>
      <c r="E658" s="3"/>
    </row>
    <row r="659" spans="2:5" ht="12.75" x14ac:dyDescent="0.35">
      <c r="B659" s="3"/>
      <c r="C659" s="3"/>
      <c r="D659" s="3"/>
      <c r="E659" s="3"/>
    </row>
    <row r="660" spans="2:5" ht="12.75" x14ac:dyDescent="0.35">
      <c r="B660" s="3"/>
      <c r="C660" s="3"/>
      <c r="D660" s="3"/>
      <c r="E660" s="3"/>
    </row>
    <row r="661" spans="2:5" ht="12.75" x14ac:dyDescent="0.35">
      <c r="B661" s="3"/>
      <c r="C661" s="3"/>
      <c r="D661" s="3"/>
      <c r="E661" s="3"/>
    </row>
    <row r="662" spans="2:5" ht="12.75" x14ac:dyDescent="0.35">
      <c r="B662" s="3"/>
      <c r="C662" s="3"/>
      <c r="D662" s="3"/>
      <c r="E662" s="3"/>
    </row>
    <row r="663" spans="2:5" ht="12.75" x14ac:dyDescent="0.35">
      <c r="B663" s="3"/>
      <c r="C663" s="3"/>
      <c r="D663" s="3"/>
      <c r="E663" s="3"/>
    </row>
    <row r="664" spans="2:5" ht="12.75" x14ac:dyDescent="0.35">
      <c r="B664" s="3"/>
      <c r="C664" s="3"/>
      <c r="D664" s="3"/>
      <c r="E664" s="3"/>
    </row>
    <row r="665" spans="2:5" ht="12.75" x14ac:dyDescent="0.35">
      <c r="B665" s="3"/>
      <c r="C665" s="3"/>
      <c r="D665" s="3"/>
      <c r="E665" s="3"/>
    </row>
    <row r="666" spans="2:5" ht="12.75" x14ac:dyDescent="0.35">
      <c r="B666" s="3"/>
      <c r="C666" s="3"/>
      <c r="D666" s="3"/>
      <c r="E666" s="3"/>
    </row>
    <row r="667" spans="2:5" ht="12.75" x14ac:dyDescent="0.35">
      <c r="B667" s="3"/>
      <c r="C667" s="3"/>
      <c r="D667" s="3"/>
      <c r="E667" s="3"/>
    </row>
    <row r="668" spans="2:5" ht="12.75" x14ac:dyDescent="0.35">
      <c r="B668" s="3"/>
      <c r="C668" s="3"/>
      <c r="D668" s="3"/>
      <c r="E668" s="3"/>
    </row>
    <row r="669" spans="2:5" ht="12.75" x14ac:dyDescent="0.35">
      <c r="B669" s="3"/>
      <c r="C669" s="3"/>
      <c r="D669" s="3"/>
      <c r="E669" s="3"/>
    </row>
    <row r="670" spans="2:5" ht="12.75" x14ac:dyDescent="0.35">
      <c r="B670" s="3"/>
      <c r="C670" s="3"/>
      <c r="D670" s="3"/>
      <c r="E670" s="3"/>
    </row>
    <row r="671" spans="2:5" ht="12.75" x14ac:dyDescent="0.35">
      <c r="B671" s="3"/>
      <c r="C671" s="3"/>
      <c r="D671" s="3"/>
      <c r="E671" s="3"/>
    </row>
    <row r="672" spans="2:5" ht="12.75" x14ac:dyDescent="0.35">
      <c r="B672" s="3"/>
      <c r="C672" s="3"/>
      <c r="D672" s="3"/>
      <c r="E672" s="3"/>
    </row>
    <row r="673" spans="2:5" ht="12.75" x14ac:dyDescent="0.35">
      <c r="B673" s="3"/>
      <c r="C673" s="3"/>
      <c r="D673" s="3"/>
      <c r="E673" s="3"/>
    </row>
    <row r="674" spans="2:5" ht="12.75" x14ac:dyDescent="0.35">
      <c r="B674" s="3"/>
      <c r="C674" s="3"/>
      <c r="D674" s="3"/>
      <c r="E674" s="3"/>
    </row>
    <row r="675" spans="2:5" ht="12.75" x14ac:dyDescent="0.35">
      <c r="B675" s="3"/>
      <c r="C675" s="3"/>
      <c r="D675" s="3"/>
      <c r="E675" s="3"/>
    </row>
    <row r="676" spans="2:5" ht="12.75" x14ac:dyDescent="0.35">
      <c r="B676" s="3"/>
      <c r="C676" s="3"/>
      <c r="D676" s="3"/>
      <c r="E676" s="3"/>
    </row>
    <row r="677" spans="2:5" ht="12.75" x14ac:dyDescent="0.35">
      <c r="B677" s="3"/>
      <c r="C677" s="3"/>
      <c r="D677" s="3"/>
      <c r="E677" s="3"/>
    </row>
    <row r="678" spans="2:5" ht="12.75" x14ac:dyDescent="0.35">
      <c r="B678" s="3"/>
      <c r="C678" s="3"/>
      <c r="D678" s="3"/>
      <c r="E678" s="3"/>
    </row>
    <row r="679" spans="2:5" ht="12.75" x14ac:dyDescent="0.35">
      <c r="B679" s="3"/>
      <c r="C679" s="3"/>
      <c r="D679" s="3"/>
      <c r="E679" s="3"/>
    </row>
    <row r="680" spans="2:5" ht="12.75" x14ac:dyDescent="0.35">
      <c r="B680" s="3"/>
      <c r="C680" s="3"/>
      <c r="D680" s="3"/>
      <c r="E680" s="3"/>
    </row>
    <row r="681" spans="2:5" ht="12.75" x14ac:dyDescent="0.35">
      <c r="B681" s="3"/>
      <c r="C681" s="3"/>
      <c r="D681" s="3"/>
      <c r="E681" s="3"/>
    </row>
    <row r="682" spans="2:5" ht="12.75" x14ac:dyDescent="0.35">
      <c r="B682" s="3"/>
      <c r="C682" s="3"/>
      <c r="D682" s="3"/>
      <c r="E682" s="3"/>
    </row>
    <row r="683" spans="2:5" ht="12.75" x14ac:dyDescent="0.35">
      <c r="B683" s="3"/>
      <c r="C683" s="3"/>
      <c r="D683" s="3"/>
      <c r="E683" s="3"/>
    </row>
    <row r="684" spans="2:5" ht="12.75" x14ac:dyDescent="0.35">
      <c r="B684" s="3"/>
      <c r="C684" s="3"/>
      <c r="D684" s="3"/>
      <c r="E684" s="3"/>
    </row>
    <row r="685" spans="2:5" ht="12.75" x14ac:dyDescent="0.35">
      <c r="B685" s="3"/>
      <c r="C685" s="3"/>
      <c r="D685" s="3"/>
      <c r="E685" s="3"/>
    </row>
    <row r="686" spans="2:5" ht="12.75" x14ac:dyDescent="0.35">
      <c r="B686" s="3"/>
      <c r="C686" s="3"/>
      <c r="D686" s="3"/>
      <c r="E686" s="3"/>
    </row>
    <row r="687" spans="2:5" ht="12.75" x14ac:dyDescent="0.35">
      <c r="B687" s="3"/>
      <c r="C687" s="3"/>
      <c r="D687" s="3"/>
      <c r="E687" s="3"/>
    </row>
    <row r="688" spans="2:5" ht="12.75" x14ac:dyDescent="0.35">
      <c r="B688" s="3"/>
      <c r="C688" s="3"/>
      <c r="D688" s="3"/>
      <c r="E688" s="3"/>
    </row>
    <row r="689" spans="2:5" ht="12.75" x14ac:dyDescent="0.35">
      <c r="B689" s="3"/>
      <c r="C689" s="3"/>
      <c r="D689" s="3"/>
      <c r="E689" s="3"/>
    </row>
    <row r="690" spans="2:5" ht="12.75" x14ac:dyDescent="0.35">
      <c r="B690" s="3"/>
      <c r="C690" s="3"/>
      <c r="D690" s="3"/>
      <c r="E690" s="3"/>
    </row>
    <row r="691" spans="2:5" ht="12.75" x14ac:dyDescent="0.35">
      <c r="B691" s="3"/>
      <c r="C691" s="3"/>
      <c r="D691" s="3"/>
      <c r="E691" s="3"/>
    </row>
    <row r="692" spans="2:5" ht="12.75" x14ac:dyDescent="0.35">
      <c r="B692" s="3"/>
      <c r="C692" s="3"/>
      <c r="D692" s="3"/>
      <c r="E692" s="3"/>
    </row>
    <row r="693" spans="2:5" ht="12.75" x14ac:dyDescent="0.35">
      <c r="B693" s="3"/>
      <c r="C693" s="3"/>
      <c r="D693" s="3"/>
      <c r="E693" s="3"/>
    </row>
    <row r="694" spans="2:5" ht="12.75" x14ac:dyDescent="0.35">
      <c r="B694" s="3"/>
      <c r="C694" s="3"/>
      <c r="D694" s="3"/>
      <c r="E694" s="3"/>
    </row>
    <row r="695" spans="2:5" ht="12.75" x14ac:dyDescent="0.35">
      <c r="B695" s="3"/>
      <c r="C695" s="3"/>
      <c r="D695" s="3"/>
      <c r="E695" s="3"/>
    </row>
    <row r="696" spans="2:5" ht="12.75" x14ac:dyDescent="0.35">
      <c r="B696" s="3"/>
      <c r="C696" s="3"/>
      <c r="D696" s="3"/>
      <c r="E696" s="3"/>
    </row>
    <row r="697" spans="2:5" ht="12.75" x14ac:dyDescent="0.35">
      <c r="B697" s="3"/>
      <c r="C697" s="3"/>
      <c r="D697" s="3"/>
      <c r="E697" s="3"/>
    </row>
    <row r="698" spans="2:5" ht="12.75" x14ac:dyDescent="0.35">
      <c r="B698" s="3"/>
      <c r="C698" s="3"/>
      <c r="D698" s="3"/>
      <c r="E698" s="3"/>
    </row>
    <row r="699" spans="2:5" ht="12.75" x14ac:dyDescent="0.35">
      <c r="B699" s="3"/>
      <c r="C699" s="3"/>
      <c r="D699" s="3"/>
      <c r="E699" s="3"/>
    </row>
    <row r="700" spans="2:5" ht="12.75" x14ac:dyDescent="0.35">
      <c r="B700" s="3"/>
      <c r="C700" s="3"/>
      <c r="D700" s="3"/>
      <c r="E700" s="3"/>
    </row>
    <row r="701" spans="2:5" ht="12.75" x14ac:dyDescent="0.35">
      <c r="B701" s="3"/>
      <c r="C701" s="3"/>
      <c r="D701" s="3"/>
      <c r="E701" s="3"/>
    </row>
    <row r="702" spans="2:5" ht="12.75" x14ac:dyDescent="0.35">
      <c r="B702" s="3"/>
      <c r="C702" s="3"/>
      <c r="D702" s="3"/>
      <c r="E702" s="3"/>
    </row>
    <row r="703" spans="2:5" ht="12.75" x14ac:dyDescent="0.35">
      <c r="B703" s="3"/>
      <c r="C703" s="3"/>
      <c r="D703" s="3"/>
      <c r="E703" s="3"/>
    </row>
    <row r="704" spans="2:5" ht="12.75" x14ac:dyDescent="0.35">
      <c r="B704" s="3"/>
      <c r="C704" s="3"/>
      <c r="D704" s="3"/>
      <c r="E704" s="3"/>
    </row>
    <row r="705" spans="2:5" ht="12.75" x14ac:dyDescent="0.35">
      <c r="B705" s="3"/>
      <c r="C705" s="3"/>
      <c r="D705" s="3"/>
      <c r="E705" s="3"/>
    </row>
    <row r="706" spans="2:5" ht="12.75" x14ac:dyDescent="0.35">
      <c r="B706" s="3"/>
      <c r="C706" s="3"/>
      <c r="D706" s="3"/>
      <c r="E706" s="3"/>
    </row>
    <row r="707" spans="2:5" ht="12.75" x14ac:dyDescent="0.35">
      <c r="B707" s="3"/>
      <c r="C707" s="3"/>
      <c r="D707" s="3"/>
      <c r="E707" s="3"/>
    </row>
    <row r="708" spans="2:5" ht="12.75" x14ac:dyDescent="0.35">
      <c r="B708" s="3"/>
      <c r="C708" s="3"/>
      <c r="D708" s="3"/>
      <c r="E708" s="3"/>
    </row>
    <row r="709" spans="2:5" ht="12.75" x14ac:dyDescent="0.35">
      <c r="B709" s="3"/>
      <c r="C709" s="3"/>
      <c r="D709" s="3"/>
      <c r="E709" s="3"/>
    </row>
    <row r="710" spans="2:5" ht="12.75" x14ac:dyDescent="0.35">
      <c r="B710" s="3"/>
      <c r="C710" s="3"/>
      <c r="D710" s="3"/>
      <c r="E710" s="3"/>
    </row>
    <row r="711" spans="2:5" ht="12.75" x14ac:dyDescent="0.35">
      <c r="B711" s="3"/>
      <c r="C711" s="3"/>
      <c r="D711" s="3"/>
      <c r="E711" s="3"/>
    </row>
    <row r="712" spans="2:5" ht="12.75" x14ac:dyDescent="0.35">
      <c r="B712" s="3"/>
      <c r="C712" s="3"/>
      <c r="D712" s="3"/>
      <c r="E712" s="3"/>
    </row>
    <row r="713" spans="2:5" ht="12.75" x14ac:dyDescent="0.35">
      <c r="B713" s="3"/>
      <c r="C713" s="3"/>
      <c r="D713" s="3"/>
      <c r="E713" s="3"/>
    </row>
    <row r="714" spans="2:5" ht="12.75" x14ac:dyDescent="0.35">
      <c r="B714" s="3"/>
      <c r="C714" s="3"/>
      <c r="D714" s="3"/>
      <c r="E714" s="3"/>
    </row>
    <row r="715" spans="2:5" ht="12.75" x14ac:dyDescent="0.35">
      <c r="B715" s="3"/>
      <c r="C715" s="3"/>
      <c r="D715" s="3"/>
      <c r="E715" s="3"/>
    </row>
    <row r="716" spans="2:5" ht="12.75" x14ac:dyDescent="0.35">
      <c r="B716" s="3"/>
      <c r="C716" s="3"/>
      <c r="D716" s="3"/>
      <c r="E716" s="3"/>
    </row>
    <row r="717" spans="2:5" ht="12.75" x14ac:dyDescent="0.35">
      <c r="B717" s="3"/>
      <c r="C717" s="3"/>
      <c r="D717" s="3"/>
      <c r="E717" s="3"/>
    </row>
    <row r="718" spans="2:5" ht="12.75" x14ac:dyDescent="0.35">
      <c r="B718" s="3"/>
      <c r="C718" s="3"/>
      <c r="D718" s="3"/>
      <c r="E718" s="3"/>
    </row>
    <row r="719" spans="2:5" ht="12.75" x14ac:dyDescent="0.35">
      <c r="B719" s="3"/>
      <c r="C719" s="3"/>
      <c r="D719" s="3"/>
      <c r="E719" s="3"/>
    </row>
    <row r="720" spans="2:5" ht="12.75" x14ac:dyDescent="0.35">
      <c r="B720" s="3"/>
      <c r="C720" s="3"/>
      <c r="D720" s="3"/>
      <c r="E720" s="3"/>
    </row>
    <row r="721" spans="2:5" ht="12.75" x14ac:dyDescent="0.35">
      <c r="B721" s="3"/>
      <c r="C721" s="3"/>
      <c r="D721" s="3"/>
      <c r="E721" s="3"/>
    </row>
    <row r="722" spans="2:5" ht="12.75" x14ac:dyDescent="0.35">
      <c r="B722" s="3"/>
      <c r="C722" s="3"/>
      <c r="D722" s="3"/>
      <c r="E722" s="3"/>
    </row>
    <row r="723" spans="2:5" ht="12.75" x14ac:dyDescent="0.35">
      <c r="B723" s="3"/>
      <c r="C723" s="3"/>
      <c r="D723" s="3"/>
      <c r="E723" s="3"/>
    </row>
    <row r="724" spans="2:5" ht="12.75" x14ac:dyDescent="0.35">
      <c r="B724" s="3"/>
      <c r="C724" s="3"/>
      <c r="D724" s="3"/>
      <c r="E724" s="3"/>
    </row>
    <row r="725" spans="2:5" ht="12.75" x14ac:dyDescent="0.35">
      <c r="B725" s="3"/>
      <c r="C725" s="3"/>
      <c r="D725" s="3"/>
      <c r="E725" s="3"/>
    </row>
    <row r="726" spans="2:5" ht="12.75" x14ac:dyDescent="0.35">
      <c r="B726" s="3"/>
      <c r="C726" s="3"/>
      <c r="D726" s="3"/>
      <c r="E726" s="3"/>
    </row>
    <row r="727" spans="2:5" ht="12.75" x14ac:dyDescent="0.35">
      <c r="B727" s="3"/>
      <c r="C727" s="3"/>
      <c r="D727" s="3"/>
      <c r="E727" s="3"/>
    </row>
    <row r="728" spans="2:5" ht="12.75" x14ac:dyDescent="0.35">
      <c r="B728" s="3"/>
      <c r="C728" s="3"/>
      <c r="D728" s="3"/>
      <c r="E728" s="3"/>
    </row>
    <row r="729" spans="2:5" ht="12.75" x14ac:dyDescent="0.35">
      <c r="B729" s="3"/>
      <c r="C729" s="3"/>
      <c r="D729" s="3"/>
      <c r="E729" s="3"/>
    </row>
    <row r="730" spans="2:5" ht="12.75" x14ac:dyDescent="0.35">
      <c r="B730" s="3"/>
      <c r="C730" s="3"/>
      <c r="D730" s="3"/>
      <c r="E730" s="3"/>
    </row>
    <row r="731" spans="2:5" ht="12.75" x14ac:dyDescent="0.35">
      <c r="B731" s="3"/>
      <c r="C731" s="3"/>
      <c r="D731" s="3"/>
      <c r="E731" s="3"/>
    </row>
    <row r="732" spans="2:5" ht="12.75" x14ac:dyDescent="0.35">
      <c r="B732" s="3"/>
      <c r="C732" s="3"/>
      <c r="D732" s="3"/>
      <c r="E732" s="3"/>
    </row>
    <row r="733" spans="2:5" ht="12.75" x14ac:dyDescent="0.35">
      <c r="B733" s="3"/>
      <c r="C733" s="3"/>
      <c r="D733" s="3"/>
      <c r="E733" s="3"/>
    </row>
    <row r="734" spans="2:5" ht="12.75" x14ac:dyDescent="0.35">
      <c r="B734" s="3"/>
      <c r="C734" s="3"/>
      <c r="D734" s="3"/>
      <c r="E734" s="3"/>
    </row>
    <row r="735" spans="2:5" ht="12.75" x14ac:dyDescent="0.35">
      <c r="B735" s="3"/>
      <c r="C735" s="3"/>
      <c r="D735" s="3"/>
      <c r="E735" s="3"/>
    </row>
    <row r="736" spans="2:5" ht="12.75" x14ac:dyDescent="0.35">
      <c r="B736" s="3"/>
      <c r="C736" s="3"/>
      <c r="D736" s="3"/>
      <c r="E736" s="3"/>
    </row>
    <row r="737" spans="2:5" ht="12.75" x14ac:dyDescent="0.35">
      <c r="B737" s="3"/>
      <c r="C737" s="3"/>
      <c r="D737" s="3"/>
      <c r="E737" s="3"/>
    </row>
    <row r="738" spans="2:5" ht="12.75" x14ac:dyDescent="0.35">
      <c r="B738" s="3"/>
      <c r="C738" s="3"/>
      <c r="D738" s="3"/>
      <c r="E738" s="3"/>
    </row>
    <row r="739" spans="2:5" ht="12.75" x14ac:dyDescent="0.35">
      <c r="B739" s="3"/>
      <c r="C739" s="3"/>
      <c r="D739" s="3"/>
      <c r="E739" s="3"/>
    </row>
    <row r="740" spans="2:5" ht="12.75" x14ac:dyDescent="0.35">
      <c r="B740" s="3"/>
      <c r="C740" s="3"/>
      <c r="D740" s="3"/>
      <c r="E740" s="3"/>
    </row>
    <row r="741" spans="2:5" ht="12.75" x14ac:dyDescent="0.35">
      <c r="B741" s="3"/>
      <c r="C741" s="3"/>
      <c r="D741" s="3"/>
      <c r="E741" s="3"/>
    </row>
    <row r="742" spans="2:5" ht="12.75" x14ac:dyDescent="0.35">
      <c r="B742" s="3"/>
      <c r="C742" s="3"/>
      <c r="D742" s="3"/>
      <c r="E742" s="3"/>
    </row>
    <row r="743" spans="2:5" ht="12.75" x14ac:dyDescent="0.35">
      <c r="B743" s="3"/>
      <c r="C743" s="3"/>
      <c r="D743" s="3"/>
      <c r="E743" s="3"/>
    </row>
    <row r="744" spans="2:5" ht="12.75" x14ac:dyDescent="0.35">
      <c r="B744" s="3"/>
      <c r="C744" s="3"/>
      <c r="D744" s="3"/>
      <c r="E744" s="3"/>
    </row>
    <row r="745" spans="2:5" ht="12.75" x14ac:dyDescent="0.35">
      <c r="B745" s="3"/>
      <c r="C745" s="3"/>
      <c r="D745" s="3"/>
      <c r="E745" s="3"/>
    </row>
    <row r="746" spans="2:5" ht="12.75" x14ac:dyDescent="0.35">
      <c r="B746" s="3"/>
      <c r="C746" s="3"/>
      <c r="D746" s="3"/>
      <c r="E746" s="3"/>
    </row>
    <row r="747" spans="2:5" ht="12.75" x14ac:dyDescent="0.35">
      <c r="B747" s="3"/>
      <c r="C747" s="3"/>
      <c r="D747" s="3"/>
      <c r="E747" s="3"/>
    </row>
    <row r="748" spans="2:5" ht="12.75" x14ac:dyDescent="0.35">
      <c r="B748" s="3"/>
      <c r="C748" s="3"/>
      <c r="D748" s="3"/>
      <c r="E748" s="3"/>
    </row>
    <row r="749" spans="2:5" ht="12.75" x14ac:dyDescent="0.35">
      <c r="B749" s="3"/>
      <c r="C749" s="3"/>
      <c r="D749" s="3"/>
      <c r="E749" s="3"/>
    </row>
    <row r="750" spans="2:5" ht="12.75" x14ac:dyDescent="0.35">
      <c r="B750" s="3"/>
      <c r="C750" s="3"/>
      <c r="D750" s="3"/>
      <c r="E750" s="3"/>
    </row>
    <row r="751" spans="2:5" ht="12.75" x14ac:dyDescent="0.35">
      <c r="B751" s="3"/>
      <c r="C751" s="3"/>
      <c r="D751" s="3"/>
      <c r="E751" s="3"/>
    </row>
    <row r="752" spans="2:5" ht="12.75" x14ac:dyDescent="0.35">
      <c r="B752" s="3"/>
      <c r="C752" s="3"/>
      <c r="D752" s="3"/>
      <c r="E752" s="3"/>
    </row>
    <row r="753" spans="2:5" ht="12.75" x14ac:dyDescent="0.35">
      <c r="B753" s="3"/>
      <c r="C753" s="3"/>
      <c r="D753" s="3"/>
      <c r="E753" s="3"/>
    </row>
    <row r="754" spans="2:5" ht="12.75" x14ac:dyDescent="0.35">
      <c r="B754" s="3"/>
      <c r="C754" s="3"/>
      <c r="D754" s="3"/>
      <c r="E754" s="3"/>
    </row>
    <row r="755" spans="2:5" ht="12.75" x14ac:dyDescent="0.35">
      <c r="B755" s="3"/>
      <c r="C755" s="3"/>
      <c r="D755" s="3"/>
      <c r="E755" s="3"/>
    </row>
    <row r="756" spans="2:5" ht="12.75" x14ac:dyDescent="0.35">
      <c r="B756" s="3"/>
      <c r="C756" s="3"/>
      <c r="D756" s="3"/>
      <c r="E756" s="3"/>
    </row>
    <row r="757" spans="2:5" ht="12.75" x14ac:dyDescent="0.35">
      <c r="B757" s="3"/>
      <c r="C757" s="3"/>
      <c r="D757" s="3"/>
      <c r="E757" s="3"/>
    </row>
    <row r="758" spans="2:5" ht="12.75" x14ac:dyDescent="0.35">
      <c r="B758" s="3"/>
      <c r="C758" s="3"/>
      <c r="D758" s="3"/>
      <c r="E758" s="3"/>
    </row>
    <row r="759" spans="2:5" ht="12.75" x14ac:dyDescent="0.35">
      <c r="B759" s="3"/>
      <c r="C759" s="3"/>
      <c r="D759" s="3"/>
      <c r="E759" s="3"/>
    </row>
    <row r="760" spans="2:5" ht="12.75" x14ac:dyDescent="0.35">
      <c r="B760" s="3"/>
      <c r="C760" s="3"/>
      <c r="D760" s="3"/>
      <c r="E760" s="3"/>
    </row>
    <row r="761" spans="2:5" ht="12.75" x14ac:dyDescent="0.35">
      <c r="B761" s="3"/>
      <c r="C761" s="3"/>
      <c r="D761" s="3"/>
      <c r="E761" s="3"/>
    </row>
    <row r="762" spans="2:5" ht="12.75" x14ac:dyDescent="0.35">
      <c r="B762" s="3"/>
      <c r="C762" s="3"/>
      <c r="D762" s="3"/>
      <c r="E762" s="3"/>
    </row>
    <row r="763" spans="2:5" ht="12.75" x14ac:dyDescent="0.35">
      <c r="B763" s="3"/>
      <c r="C763" s="3"/>
      <c r="D763" s="3"/>
      <c r="E763" s="3"/>
    </row>
    <row r="764" spans="2:5" ht="12.75" x14ac:dyDescent="0.35">
      <c r="B764" s="3"/>
      <c r="C764" s="3"/>
      <c r="D764" s="3"/>
      <c r="E764" s="3"/>
    </row>
    <row r="765" spans="2:5" ht="12.75" x14ac:dyDescent="0.35">
      <c r="B765" s="3"/>
      <c r="C765" s="3"/>
      <c r="D765" s="3"/>
      <c r="E765" s="3"/>
    </row>
    <row r="766" spans="2:5" ht="12.75" x14ac:dyDescent="0.35">
      <c r="B766" s="3"/>
      <c r="C766" s="3"/>
      <c r="D766" s="3"/>
      <c r="E766" s="3"/>
    </row>
    <row r="767" spans="2:5" ht="12.75" x14ac:dyDescent="0.35">
      <c r="B767" s="3"/>
      <c r="C767" s="3"/>
      <c r="D767" s="3"/>
      <c r="E767" s="3"/>
    </row>
    <row r="768" spans="2:5" ht="12.75" x14ac:dyDescent="0.35">
      <c r="B768" s="3"/>
      <c r="C768" s="3"/>
      <c r="D768" s="3"/>
      <c r="E768" s="3"/>
    </row>
    <row r="769" spans="2:5" ht="12.75" x14ac:dyDescent="0.35">
      <c r="B769" s="3"/>
      <c r="C769" s="3"/>
      <c r="D769" s="3"/>
      <c r="E769" s="3"/>
    </row>
    <row r="770" spans="2:5" ht="12.75" x14ac:dyDescent="0.35">
      <c r="B770" s="3"/>
      <c r="C770" s="3"/>
      <c r="D770" s="3"/>
      <c r="E770" s="3"/>
    </row>
    <row r="771" spans="2:5" ht="12.75" x14ac:dyDescent="0.35">
      <c r="B771" s="3"/>
      <c r="C771" s="3"/>
      <c r="D771" s="3"/>
      <c r="E771" s="3"/>
    </row>
    <row r="772" spans="2:5" ht="12.75" x14ac:dyDescent="0.35">
      <c r="B772" s="3"/>
      <c r="C772" s="3"/>
      <c r="D772" s="3"/>
      <c r="E772" s="3"/>
    </row>
    <row r="773" spans="2:5" ht="12.75" x14ac:dyDescent="0.35">
      <c r="B773" s="3"/>
      <c r="C773" s="3"/>
      <c r="D773" s="3"/>
      <c r="E773" s="3"/>
    </row>
    <row r="774" spans="2:5" ht="12.75" x14ac:dyDescent="0.35">
      <c r="B774" s="3"/>
      <c r="C774" s="3"/>
      <c r="D774" s="3"/>
      <c r="E774" s="3"/>
    </row>
    <row r="775" spans="2:5" ht="12.75" x14ac:dyDescent="0.35">
      <c r="B775" s="3"/>
      <c r="C775" s="3"/>
      <c r="D775" s="3"/>
      <c r="E775" s="3"/>
    </row>
    <row r="776" spans="2:5" ht="12.75" x14ac:dyDescent="0.35">
      <c r="B776" s="3"/>
      <c r="C776" s="3"/>
      <c r="D776" s="3"/>
      <c r="E776" s="3"/>
    </row>
    <row r="777" spans="2:5" ht="12.75" x14ac:dyDescent="0.35">
      <c r="B777" s="3"/>
      <c r="C777" s="3"/>
      <c r="D777" s="3"/>
      <c r="E777" s="3"/>
    </row>
    <row r="778" spans="2:5" ht="12.75" x14ac:dyDescent="0.35">
      <c r="B778" s="3"/>
      <c r="C778" s="3"/>
      <c r="D778" s="3"/>
      <c r="E778" s="3"/>
    </row>
    <row r="779" spans="2:5" ht="12.75" x14ac:dyDescent="0.35">
      <c r="B779" s="3"/>
      <c r="C779" s="3"/>
      <c r="D779" s="3"/>
      <c r="E779" s="3"/>
    </row>
    <row r="780" spans="2:5" ht="12.75" x14ac:dyDescent="0.35">
      <c r="B780" s="3"/>
      <c r="C780" s="3"/>
      <c r="D780" s="3"/>
      <c r="E780" s="3"/>
    </row>
    <row r="781" spans="2:5" ht="12.75" x14ac:dyDescent="0.35">
      <c r="B781" s="3"/>
      <c r="C781" s="3"/>
      <c r="D781" s="3"/>
      <c r="E781" s="3"/>
    </row>
    <row r="782" spans="2:5" ht="12.75" x14ac:dyDescent="0.35">
      <c r="B782" s="3"/>
      <c r="C782" s="3"/>
      <c r="D782" s="3"/>
      <c r="E782" s="3"/>
    </row>
    <row r="783" spans="2:5" ht="12.75" x14ac:dyDescent="0.35">
      <c r="B783" s="3"/>
      <c r="C783" s="3"/>
      <c r="D783" s="3"/>
      <c r="E783" s="3"/>
    </row>
    <row r="784" spans="2:5" ht="12.75" x14ac:dyDescent="0.35">
      <c r="B784" s="3"/>
      <c r="C784" s="3"/>
      <c r="D784" s="3"/>
      <c r="E784" s="3"/>
    </row>
    <row r="785" spans="2:5" ht="12.75" x14ac:dyDescent="0.35">
      <c r="B785" s="3"/>
      <c r="C785" s="3"/>
      <c r="D785" s="3"/>
      <c r="E785" s="3"/>
    </row>
    <row r="786" spans="2:5" ht="12.75" x14ac:dyDescent="0.35">
      <c r="B786" s="3"/>
      <c r="C786" s="3"/>
      <c r="D786" s="3"/>
      <c r="E786" s="3"/>
    </row>
    <row r="787" spans="2:5" ht="12.75" x14ac:dyDescent="0.35">
      <c r="B787" s="3"/>
      <c r="C787" s="3"/>
      <c r="D787" s="3"/>
      <c r="E787" s="3"/>
    </row>
    <row r="788" spans="2:5" ht="12.75" x14ac:dyDescent="0.35">
      <c r="B788" s="3"/>
      <c r="C788" s="3"/>
      <c r="D788" s="3"/>
      <c r="E788" s="3"/>
    </row>
    <row r="789" spans="2:5" ht="12.75" x14ac:dyDescent="0.35">
      <c r="B789" s="3"/>
      <c r="C789" s="3"/>
      <c r="D789" s="3"/>
      <c r="E789" s="3"/>
    </row>
    <row r="790" spans="2:5" ht="12.75" x14ac:dyDescent="0.35">
      <c r="B790" s="3"/>
      <c r="C790" s="3"/>
      <c r="D790" s="3"/>
      <c r="E790" s="3"/>
    </row>
    <row r="791" spans="2:5" ht="12.75" x14ac:dyDescent="0.35">
      <c r="B791" s="3"/>
      <c r="C791" s="3"/>
      <c r="D791" s="3"/>
      <c r="E791" s="3"/>
    </row>
    <row r="792" spans="2:5" ht="12.75" x14ac:dyDescent="0.35">
      <c r="B792" s="3"/>
      <c r="C792" s="3"/>
      <c r="D792" s="3"/>
      <c r="E792" s="3"/>
    </row>
    <row r="793" spans="2:5" ht="12.75" x14ac:dyDescent="0.35">
      <c r="B793" s="3"/>
      <c r="C793" s="3"/>
      <c r="D793" s="3"/>
      <c r="E793" s="3"/>
    </row>
    <row r="794" spans="2:5" ht="12.75" x14ac:dyDescent="0.35">
      <c r="B794" s="3"/>
      <c r="C794" s="3"/>
      <c r="D794" s="3"/>
      <c r="E794" s="3"/>
    </row>
    <row r="795" spans="2:5" ht="12.75" x14ac:dyDescent="0.35">
      <c r="B795" s="3"/>
      <c r="C795" s="3"/>
      <c r="D795" s="3"/>
      <c r="E795" s="3"/>
    </row>
    <row r="796" spans="2:5" ht="12.75" x14ac:dyDescent="0.35">
      <c r="B796" s="3"/>
      <c r="C796" s="3"/>
      <c r="D796" s="3"/>
      <c r="E796" s="3"/>
    </row>
    <row r="797" spans="2:5" ht="12.75" x14ac:dyDescent="0.35">
      <c r="B797" s="3"/>
      <c r="C797" s="3"/>
      <c r="D797" s="3"/>
      <c r="E797" s="3"/>
    </row>
    <row r="798" spans="2:5" ht="12.75" x14ac:dyDescent="0.35">
      <c r="B798" s="3"/>
      <c r="C798" s="3"/>
      <c r="D798" s="3"/>
      <c r="E798" s="3"/>
    </row>
    <row r="799" spans="2:5" ht="12.75" x14ac:dyDescent="0.35">
      <c r="B799" s="3"/>
      <c r="C799" s="3"/>
      <c r="D799" s="3"/>
      <c r="E799" s="3"/>
    </row>
    <row r="800" spans="2:5" ht="12.75" x14ac:dyDescent="0.35">
      <c r="B800" s="3"/>
      <c r="C800" s="3"/>
      <c r="D800" s="3"/>
      <c r="E800" s="3"/>
    </row>
    <row r="801" spans="2:5" ht="12.75" x14ac:dyDescent="0.35">
      <c r="B801" s="3"/>
      <c r="C801" s="3"/>
      <c r="D801" s="3"/>
      <c r="E801" s="3"/>
    </row>
    <row r="802" spans="2:5" ht="12.75" x14ac:dyDescent="0.35">
      <c r="B802" s="3"/>
      <c r="C802" s="3"/>
      <c r="D802" s="3"/>
      <c r="E802" s="3"/>
    </row>
    <row r="803" spans="2:5" ht="12.75" x14ac:dyDescent="0.35">
      <c r="B803" s="3"/>
      <c r="C803" s="3"/>
      <c r="D803" s="3"/>
      <c r="E803" s="3"/>
    </row>
    <row r="804" spans="2:5" ht="12.75" x14ac:dyDescent="0.35">
      <c r="B804" s="3"/>
      <c r="C804" s="3"/>
      <c r="D804" s="3"/>
      <c r="E804" s="3"/>
    </row>
    <row r="805" spans="2:5" ht="12.75" x14ac:dyDescent="0.35">
      <c r="B805" s="3"/>
      <c r="C805" s="3"/>
      <c r="D805" s="3"/>
      <c r="E805" s="3"/>
    </row>
    <row r="806" spans="2:5" ht="12.75" x14ac:dyDescent="0.35">
      <c r="B806" s="3"/>
      <c r="C806" s="3"/>
      <c r="D806" s="3"/>
      <c r="E806" s="3"/>
    </row>
    <row r="807" spans="2:5" ht="12.75" x14ac:dyDescent="0.35">
      <c r="B807" s="3"/>
      <c r="C807" s="3"/>
      <c r="D807" s="3"/>
      <c r="E807" s="3"/>
    </row>
    <row r="808" spans="2:5" ht="12.75" x14ac:dyDescent="0.35">
      <c r="B808" s="3"/>
      <c r="C808" s="3"/>
      <c r="D808" s="3"/>
      <c r="E808" s="3"/>
    </row>
    <row r="809" spans="2:5" ht="12.75" x14ac:dyDescent="0.35">
      <c r="B809" s="3"/>
      <c r="C809" s="3"/>
      <c r="D809" s="3"/>
      <c r="E809" s="3"/>
    </row>
    <row r="810" spans="2:5" ht="12.75" x14ac:dyDescent="0.35">
      <c r="B810" s="3"/>
      <c r="C810" s="3"/>
      <c r="D810" s="3"/>
      <c r="E810" s="3"/>
    </row>
    <row r="811" spans="2:5" ht="12.75" x14ac:dyDescent="0.35">
      <c r="B811" s="3"/>
      <c r="C811" s="3"/>
      <c r="D811" s="3"/>
      <c r="E811" s="3"/>
    </row>
    <row r="812" spans="2:5" ht="12.75" x14ac:dyDescent="0.35">
      <c r="B812" s="3"/>
      <c r="C812" s="3"/>
      <c r="D812" s="3"/>
      <c r="E812" s="3"/>
    </row>
    <row r="813" spans="2:5" ht="12.75" x14ac:dyDescent="0.35">
      <c r="B813" s="3"/>
      <c r="C813" s="3"/>
      <c r="D813" s="3"/>
      <c r="E813" s="3"/>
    </row>
    <row r="814" spans="2:5" ht="12.75" x14ac:dyDescent="0.35">
      <c r="B814" s="3"/>
      <c r="C814" s="3"/>
      <c r="D814" s="3"/>
      <c r="E814" s="3"/>
    </row>
    <row r="815" spans="2:5" ht="12.75" x14ac:dyDescent="0.35">
      <c r="B815" s="3"/>
      <c r="C815" s="3"/>
      <c r="D815" s="3"/>
      <c r="E815" s="3"/>
    </row>
    <row r="816" spans="2:5" ht="12.75" x14ac:dyDescent="0.35">
      <c r="B816" s="3"/>
      <c r="C816" s="3"/>
      <c r="D816" s="3"/>
      <c r="E816" s="3"/>
    </row>
    <row r="817" spans="2:5" ht="12.75" x14ac:dyDescent="0.35">
      <c r="B817" s="3"/>
      <c r="C817" s="3"/>
      <c r="D817" s="3"/>
      <c r="E817" s="3"/>
    </row>
    <row r="818" spans="2:5" ht="12.75" x14ac:dyDescent="0.35">
      <c r="B818" s="3"/>
      <c r="C818" s="3"/>
      <c r="D818" s="3"/>
      <c r="E818" s="3"/>
    </row>
    <row r="819" spans="2:5" ht="12.75" x14ac:dyDescent="0.35">
      <c r="B819" s="3"/>
      <c r="C819" s="3"/>
      <c r="D819" s="3"/>
      <c r="E819" s="3"/>
    </row>
    <row r="820" spans="2:5" ht="12.75" x14ac:dyDescent="0.35">
      <c r="B820" s="3"/>
      <c r="C820" s="3"/>
      <c r="D820" s="3"/>
      <c r="E820" s="3"/>
    </row>
    <row r="821" spans="2:5" ht="12.75" x14ac:dyDescent="0.35">
      <c r="B821" s="3"/>
      <c r="C821" s="3"/>
      <c r="D821" s="3"/>
      <c r="E821" s="3"/>
    </row>
    <row r="822" spans="2:5" ht="12.75" x14ac:dyDescent="0.35">
      <c r="B822" s="3"/>
      <c r="C822" s="3"/>
      <c r="D822" s="3"/>
      <c r="E822" s="3"/>
    </row>
    <row r="823" spans="2:5" ht="12.75" x14ac:dyDescent="0.35">
      <c r="B823" s="3"/>
      <c r="C823" s="3"/>
      <c r="D823" s="3"/>
      <c r="E823" s="3"/>
    </row>
    <row r="824" spans="2:5" ht="12.75" x14ac:dyDescent="0.35">
      <c r="B824" s="3"/>
      <c r="C824" s="3"/>
      <c r="D824" s="3"/>
      <c r="E824" s="3"/>
    </row>
    <row r="825" spans="2:5" ht="12.75" x14ac:dyDescent="0.35">
      <c r="B825" s="3"/>
      <c r="C825" s="3"/>
      <c r="D825" s="3"/>
      <c r="E825" s="3"/>
    </row>
    <row r="826" spans="2:5" ht="12.75" x14ac:dyDescent="0.35">
      <c r="B826" s="3"/>
      <c r="C826" s="3"/>
      <c r="D826" s="3"/>
      <c r="E826" s="3"/>
    </row>
    <row r="827" spans="2:5" ht="12.75" x14ac:dyDescent="0.35">
      <c r="B827" s="3"/>
      <c r="C827" s="3"/>
      <c r="D827" s="3"/>
      <c r="E827" s="3"/>
    </row>
    <row r="828" spans="2:5" ht="12.75" x14ac:dyDescent="0.35">
      <c r="B828" s="3"/>
      <c r="C828" s="3"/>
      <c r="D828" s="3"/>
      <c r="E828" s="3"/>
    </row>
    <row r="829" spans="2:5" ht="12.75" x14ac:dyDescent="0.35">
      <c r="B829" s="3"/>
      <c r="C829" s="3"/>
      <c r="D829" s="3"/>
      <c r="E829" s="3"/>
    </row>
    <row r="830" spans="2:5" ht="12.75" x14ac:dyDescent="0.35">
      <c r="B830" s="3"/>
      <c r="C830" s="3"/>
      <c r="D830" s="3"/>
      <c r="E830" s="3"/>
    </row>
    <row r="831" spans="2:5" ht="12.75" x14ac:dyDescent="0.35">
      <c r="B831" s="3"/>
      <c r="C831" s="3"/>
      <c r="D831" s="3"/>
      <c r="E831" s="3"/>
    </row>
    <row r="832" spans="2:5" ht="12.75" x14ac:dyDescent="0.35">
      <c r="B832" s="3"/>
      <c r="C832" s="3"/>
      <c r="D832" s="3"/>
      <c r="E832" s="3"/>
    </row>
    <row r="833" spans="2:5" ht="12.75" x14ac:dyDescent="0.35">
      <c r="B833" s="3"/>
      <c r="C833" s="3"/>
      <c r="D833" s="3"/>
      <c r="E833" s="3"/>
    </row>
    <row r="834" spans="2:5" ht="12.75" x14ac:dyDescent="0.35">
      <c r="B834" s="3"/>
      <c r="C834" s="3"/>
      <c r="D834" s="3"/>
      <c r="E834" s="3"/>
    </row>
    <row r="835" spans="2:5" ht="12.75" x14ac:dyDescent="0.35">
      <c r="B835" s="3"/>
      <c r="C835" s="3"/>
      <c r="D835" s="3"/>
      <c r="E835" s="3"/>
    </row>
    <row r="836" spans="2:5" ht="12.75" x14ac:dyDescent="0.35">
      <c r="B836" s="3"/>
      <c r="C836" s="3"/>
      <c r="D836" s="3"/>
      <c r="E836" s="3"/>
    </row>
    <row r="837" spans="2:5" ht="12.75" x14ac:dyDescent="0.35">
      <c r="B837" s="3"/>
      <c r="C837" s="3"/>
      <c r="D837" s="3"/>
      <c r="E837" s="3"/>
    </row>
    <row r="838" spans="2:5" ht="12.75" x14ac:dyDescent="0.35">
      <c r="B838" s="3"/>
      <c r="C838" s="3"/>
      <c r="D838" s="3"/>
      <c r="E838" s="3"/>
    </row>
    <row r="839" spans="2:5" ht="12.75" x14ac:dyDescent="0.35">
      <c r="B839" s="3"/>
      <c r="C839" s="3"/>
      <c r="D839" s="3"/>
      <c r="E839" s="3"/>
    </row>
    <row r="840" spans="2:5" ht="12.75" x14ac:dyDescent="0.35">
      <c r="B840" s="3"/>
      <c r="C840" s="3"/>
      <c r="D840" s="3"/>
      <c r="E840" s="3"/>
    </row>
    <row r="841" spans="2:5" ht="12.75" x14ac:dyDescent="0.35">
      <c r="B841" s="3"/>
      <c r="C841" s="3"/>
      <c r="D841" s="3"/>
      <c r="E841" s="3"/>
    </row>
    <row r="842" spans="2:5" ht="12.75" x14ac:dyDescent="0.35">
      <c r="B842" s="3"/>
      <c r="C842" s="3"/>
      <c r="D842" s="3"/>
      <c r="E842" s="3"/>
    </row>
    <row r="843" spans="2:5" ht="12.75" x14ac:dyDescent="0.35">
      <c r="B843" s="3"/>
      <c r="C843" s="3"/>
      <c r="D843" s="3"/>
      <c r="E843" s="3"/>
    </row>
    <row r="844" spans="2:5" ht="12.75" x14ac:dyDescent="0.35">
      <c r="B844" s="3"/>
      <c r="C844" s="3"/>
      <c r="D844" s="3"/>
      <c r="E844" s="3"/>
    </row>
    <row r="845" spans="2:5" ht="12.75" x14ac:dyDescent="0.35">
      <c r="B845" s="3"/>
      <c r="C845" s="3"/>
      <c r="D845" s="3"/>
      <c r="E845" s="3"/>
    </row>
    <row r="846" spans="2:5" ht="12.75" x14ac:dyDescent="0.35">
      <c r="B846" s="3"/>
      <c r="C846" s="3"/>
      <c r="D846" s="3"/>
      <c r="E846" s="3"/>
    </row>
    <row r="847" spans="2:5" ht="12.75" x14ac:dyDescent="0.35">
      <c r="B847" s="3"/>
      <c r="C847" s="3"/>
      <c r="D847" s="3"/>
      <c r="E847" s="3"/>
    </row>
    <row r="848" spans="2:5" ht="12.75" x14ac:dyDescent="0.35">
      <c r="B848" s="3"/>
      <c r="C848" s="3"/>
      <c r="D848" s="3"/>
      <c r="E848" s="3"/>
    </row>
    <row r="849" spans="2:5" ht="12.75" x14ac:dyDescent="0.35">
      <c r="B849" s="3"/>
      <c r="C849" s="3"/>
      <c r="D849" s="3"/>
      <c r="E849" s="3"/>
    </row>
    <row r="850" spans="2:5" ht="12.75" x14ac:dyDescent="0.35">
      <c r="B850" s="3"/>
      <c r="C850" s="3"/>
      <c r="D850" s="3"/>
      <c r="E850" s="3"/>
    </row>
    <row r="851" spans="2:5" ht="12.75" x14ac:dyDescent="0.35">
      <c r="B851" s="3"/>
      <c r="C851" s="3"/>
      <c r="D851" s="3"/>
      <c r="E851" s="3"/>
    </row>
    <row r="852" spans="2:5" ht="12.75" x14ac:dyDescent="0.35">
      <c r="B852" s="3"/>
      <c r="C852" s="3"/>
      <c r="D852" s="3"/>
      <c r="E852" s="3"/>
    </row>
    <row r="853" spans="2:5" ht="12.75" x14ac:dyDescent="0.35">
      <c r="B853" s="3"/>
      <c r="C853" s="3"/>
      <c r="D853" s="3"/>
      <c r="E853" s="3"/>
    </row>
    <row r="854" spans="2:5" ht="12.75" x14ac:dyDescent="0.35">
      <c r="B854" s="3"/>
      <c r="C854" s="3"/>
      <c r="D854" s="3"/>
      <c r="E854" s="3"/>
    </row>
    <row r="855" spans="2:5" ht="12.75" x14ac:dyDescent="0.35">
      <c r="B855" s="3"/>
      <c r="C855" s="3"/>
      <c r="D855" s="3"/>
      <c r="E855" s="3"/>
    </row>
    <row r="856" spans="2:5" ht="12.75" x14ac:dyDescent="0.35">
      <c r="B856" s="3"/>
      <c r="C856" s="3"/>
      <c r="D856" s="3"/>
      <c r="E856" s="3"/>
    </row>
    <row r="857" spans="2:5" ht="12.75" x14ac:dyDescent="0.35">
      <c r="B857" s="3"/>
      <c r="C857" s="3"/>
      <c r="D857" s="3"/>
      <c r="E857" s="3"/>
    </row>
    <row r="858" spans="2:5" ht="12.75" x14ac:dyDescent="0.35">
      <c r="B858" s="3"/>
      <c r="C858" s="3"/>
      <c r="D858" s="3"/>
      <c r="E858" s="3"/>
    </row>
    <row r="859" spans="2:5" ht="12.75" x14ac:dyDescent="0.35">
      <c r="B859" s="3"/>
      <c r="C859" s="3"/>
      <c r="D859" s="3"/>
      <c r="E859" s="3"/>
    </row>
    <row r="860" spans="2:5" ht="12.75" x14ac:dyDescent="0.35">
      <c r="B860" s="3"/>
      <c r="C860" s="3"/>
      <c r="D860" s="3"/>
      <c r="E860" s="3"/>
    </row>
    <row r="861" spans="2:5" ht="12.75" x14ac:dyDescent="0.35">
      <c r="B861" s="3"/>
      <c r="C861" s="3"/>
      <c r="D861" s="3"/>
      <c r="E861" s="3"/>
    </row>
    <row r="862" spans="2:5" ht="12.75" x14ac:dyDescent="0.35">
      <c r="B862" s="3"/>
      <c r="C862" s="3"/>
      <c r="D862" s="3"/>
      <c r="E862" s="3"/>
    </row>
    <row r="863" spans="2:5" ht="12.75" x14ac:dyDescent="0.35">
      <c r="B863" s="3"/>
      <c r="C863" s="3"/>
      <c r="D863" s="3"/>
      <c r="E863" s="3"/>
    </row>
    <row r="864" spans="2:5" ht="12.75" x14ac:dyDescent="0.35">
      <c r="B864" s="3"/>
      <c r="C864" s="3"/>
      <c r="D864" s="3"/>
      <c r="E864" s="3"/>
    </row>
    <row r="865" spans="2:5" ht="12.75" x14ac:dyDescent="0.35">
      <c r="B865" s="3"/>
      <c r="C865" s="3"/>
      <c r="D865" s="3"/>
      <c r="E865" s="3"/>
    </row>
    <row r="866" spans="2:5" ht="12.75" x14ac:dyDescent="0.35">
      <c r="B866" s="3"/>
      <c r="C866" s="3"/>
      <c r="D866" s="3"/>
      <c r="E866" s="3"/>
    </row>
    <row r="867" spans="2:5" ht="12.75" x14ac:dyDescent="0.35">
      <c r="B867" s="3"/>
      <c r="C867" s="3"/>
      <c r="D867" s="3"/>
      <c r="E867" s="3"/>
    </row>
    <row r="868" spans="2:5" ht="12.75" x14ac:dyDescent="0.35">
      <c r="B868" s="3"/>
      <c r="C868" s="3"/>
      <c r="D868" s="3"/>
      <c r="E868" s="3"/>
    </row>
    <row r="869" spans="2:5" ht="12.75" x14ac:dyDescent="0.35">
      <c r="B869" s="3"/>
      <c r="C869" s="3"/>
      <c r="D869" s="3"/>
      <c r="E869" s="3"/>
    </row>
    <row r="870" spans="2:5" ht="12.75" x14ac:dyDescent="0.35">
      <c r="B870" s="3"/>
      <c r="C870" s="3"/>
      <c r="D870" s="3"/>
      <c r="E870" s="3"/>
    </row>
    <row r="871" spans="2:5" ht="12.75" x14ac:dyDescent="0.35">
      <c r="B871" s="3"/>
      <c r="C871" s="3"/>
      <c r="D871" s="3"/>
      <c r="E871" s="3"/>
    </row>
    <row r="872" spans="2:5" ht="12.75" x14ac:dyDescent="0.35">
      <c r="B872" s="3"/>
      <c r="C872" s="3"/>
      <c r="D872" s="3"/>
      <c r="E872" s="3"/>
    </row>
    <row r="873" spans="2:5" ht="12.75" x14ac:dyDescent="0.35">
      <c r="B873" s="3"/>
      <c r="C873" s="3"/>
      <c r="D873" s="3"/>
      <c r="E873" s="3"/>
    </row>
    <row r="874" spans="2:5" ht="12.75" x14ac:dyDescent="0.35">
      <c r="B874" s="3"/>
      <c r="C874" s="3"/>
      <c r="D874" s="3"/>
      <c r="E874" s="3"/>
    </row>
    <row r="875" spans="2:5" ht="12.75" x14ac:dyDescent="0.35">
      <c r="B875" s="3"/>
      <c r="C875" s="3"/>
      <c r="D875" s="3"/>
      <c r="E875" s="3"/>
    </row>
    <row r="876" spans="2:5" ht="12.75" x14ac:dyDescent="0.35">
      <c r="B876" s="3"/>
      <c r="C876" s="3"/>
      <c r="D876" s="3"/>
      <c r="E876" s="3"/>
    </row>
    <row r="877" spans="2:5" ht="12.75" x14ac:dyDescent="0.35">
      <c r="B877" s="3"/>
      <c r="C877" s="3"/>
      <c r="D877" s="3"/>
      <c r="E877" s="3"/>
    </row>
    <row r="878" spans="2:5" ht="12.75" x14ac:dyDescent="0.35">
      <c r="B878" s="3"/>
      <c r="C878" s="3"/>
      <c r="D878" s="3"/>
      <c r="E878" s="3"/>
    </row>
    <row r="879" spans="2:5" ht="12.75" x14ac:dyDescent="0.35">
      <c r="B879" s="3"/>
      <c r="C879" s="3"/>
      <c r="D879" s="3"/>
      <c r="E879" s="3"/>
    </row>
    <row r="880" spans="2:5" ht="12.75" x14ac:dyDescent="0.35">
      <c r="B880" s="3"/>
      <c r="C880" s="3"/>
      <c r="D880" s="3"/>
      <c r="E880" s="3"/>
    </row>
    <row r="881" spans="2:5" ht="12.75" x14ac:dyDescent="0.35">
      <c r="B881" s="3"/>
      <c r="C881" s="3"/>
      <c r="D881" s="3"/>
      <c r="E881" s="3"/>
    </row>
    <row r="882" spans="2:5" ht="12.75" x14ac:dyDescent="0.35">
      <c r="B882" s="3"/>
      <c r="C882" s="3"/>
      <c r="D882" s="3"/>
      <c r="E882" s="3"/>
    </row>
    <row r="883" spans="2:5" ht="12.75" x14ac:dyDescent="0.35">
      <c r="B883" s="3"/>
      <c r="C883" s="3"/>
      <c r="D883" s="3"/>
      <c r="E883" s="3"/>
    </row>
    <row r="884" spans="2:5" ht="12.75" x14ac:dyDescent="0.35">
      <c r="B884" s="3"/>
      <c r="C884" s="3"/>
      <c r="D884" s="3"/>
      <c r="E884" s="3"/>
    </row>
    <row r="885" spans="2:5" ht="12.75" x14ac:dyDescent="0.35">
      <c r="B885" s="3"/>
      <c r="C885" s="3"/>
      <c r="D885" s="3"/>
      <c r="E885" s="3"/>
    </row>
    <row r="886" spans="2:5" ht="12.75" x14ac:dyDescent="0.35">
      <c r="B886" s="3"/>
      <c r="C886" s="3"/>
      <c r="D886" s="3"/>
      <c r="E886" s="3"/>
    </row>
    <row r="887" spans="2:5" ht="12.75" x14ac:dyDescent="0.35">
      <c r="B887" s="3"/>
      <c r="C887" s="3"/>
      <c r="D887" s="3"/>
      <c r="E887" s="3"/>
    </row>
    <row r="888" spans="2:5" ht="12.75" x14ac:dyDescent="0.35">
      <c r="B888" s="3"/>
      <c r="C888" s="3"/>
      <c r="D888" s="3"/>
      <c r="E888" s="3"/>
    </row>
    <row r="889" spans="2:5" ht="12.75" x14ac:dyDescent="0.35">
      <c r="B889" s="3"/>
      <c r="C889" s="3"/>
      <c r="D889" s="3"/>
      <c r="E889" s="3"/>
    </row>
    <row r="890" spans="2:5" ht="12.75" x14ac:dyDescent="0.35">
      <c r="B890" s="3"/>
      <c r="C890" s="3"/>
      <c r="D890" s="3"/>
      <c r="E890" s="3"/>
    </row>
    <row r="891" spans="2:5" ht="12.75" x14ac:dyDescent="0.35">
      <c r="B891" s="3"/>
      <c r="C891" s="3"/>
      <c r="D891" s="3"/>
      <c r="E891" s="3"/>
    </row>
    <row r="892" spans="2:5" ht="12.75" x14ac:dyDescent="0.35">
      <c r="B892" s="3"/>
      <c r="C892" s="3"/>
      <c r="D892" s="3"/>
      <c r="E892" s="3"/>
    </row>
    <row r="893" spans="2:5" ht="12.75" x14ac:dyDescent="0.35">
      <c r="B893" s="3"/>
      <c r="C893" s="3"/>
      <c r="D893" s="3"/>
      <c r="E893" s="3"/>
    </row>
    <row r="894" spans="2:5" ht="12.75" x14ac:dyDescent="0.35">
      <c r="B894" s="3"/>
      <c r="C894" s="3"/>
      <c r="D894" s="3"/>
      <c r="E894" s="3"/>
    </row>
    <row r="895" spans="2:5" ht="12.75" x14ac:dyDescent="0.35">
      <c r="B895" s="3"/>
      <c r="C895" s="3"/>
      <c r="D895" s="3"/>
      <c r="E895" s="3"/>
    </row>
    <row r="896" spans="2:5" ht="12.75" x14ac:dyDescent="0.35">
      <c r="B896" s="3"/>
      <c r="C896" s="3"/>
      <c r="D896" s="3"/>
      <c r="E896" s="3"/>
    </row>
    <row r="897" spans="2:5" ht="12.75" x14ac:dyDescent="0.35">
      <c r="B897" s="3"/>
      <c r="C897" s="3"/>
      <c r="D897" s="3"/>
      <c r="E897" s="3"/>
    </row>
    <row r="898" spans="2:5" ht="12.75" x14ac:dyDescent="0.35">
      <c r="B898" s="3"/>
      <c r="C898" s="3"/>
      <c r="D898" s="3"/>
      <c r="E898" s="3"/>
    </row>
    <row r="899" spans="2:5" ht="12.75" x14ac:dyDescent="0.35">
      <c r="B899" s="3"/>
      <c r="C899" s="3"/>
      <c r="D899" s="3"/>
      <c r="E899" s="3"/>
    </row>
    <row r="900" spans="2:5" ht="12.75" x14ac:dyDescent="0.35">
      <c r="B900" s="3"/>
      <c r="C900" s="3"/>
      <c r="D900" s="3"/>
      <c r="E900" s="3"/>
    </row>
    <row r="901" spans="2:5" ht="12.75" x14ac:dyDescent="0.35">
      <c r="B901" s="3"/>
      <c r="C901" s="3"/>
      <c r="D901" s="3"/>
      <c r="E901" s="3"/>
    </row>
    <row r="902" spans="2:5" ht="12.75" x14ac:dyDescent="0.35">
      <c r="B902" s="3"/>
      <c r="C902" s="3"/>
      <c r="D902" s="3"/>
      <c r="E902" s="3"/>
    </row>
    <row r="903" spans="2:5" ht="12.75" x14ac:dyDescent="0.35">
      <c r="B903" s="3"/>
      <c r="C903" s="3"/>
      <c r="D903" s="3"/>
      <c r="E903" s="3"/>
    </row>
    <row r="904" spans="2:5" ht="12.75" x14ac:dyDescent="0.35">
      <c r="B904" s="3"/>
      <c r="C904" s="3"/>
      <c r="D904" s="3"/>
      <c r="E904" s="3"/>
    </row>
    <row r="905" spans="2:5" ht="12.75" x14ac:dyDescent="0.35">
      <c r="B905" s="3"/>
      <c r="C905" s="3"/>
      <c r="D905" s="3"/>
      <c r="E905" s="3"/>
    </row>
    <row r="906" spans="2:5" ht="12.75" x14ac:dyDescent="0.35">
      <c r="B906" s="3"/>
      <c r="C906" s="3"/>
      <c r="D906" s="3"/>
      <c r="E906" s="3"/>
    </row>
    <row r="907" spans="2:5" ht="12.75" x14ac:dyDescent="0.35">
      <c r="B907" s="3"/>
      <c r="C907" s="3"/>
      <c r="D907" s="3"/>
      <c r="E907" s="3"/>
    </row>
    <row r="908" spans="2:5" ht="12.75" x14ac:dyDescent="0.35">
      <c r="B908" s="3"/>
      <c r="C908" s="3"/>
      <c r="D908" s="3"/>
      <c r="E908" s="3"/>
    </row>
    <row r="909" spans="2:5" ht="12.75" x14ac:dyDescent="0.35">
      <c r="B909" s="3"/>
      <c r="C909" s="3"/>
      <c r="D909" s="3"/>
      <c r="E909" s="3"/>
    </row>
    <row r="910" spans="2:5" ht="12.75" x14ac:dyDescent="0.35">
      <c r="B910" s="3"/>
      <c r="C910" s="3"/>
      <c r="D910" s="3"/>
      <c r="E910" s="3"/>
    </row>
    <row r="911" spans="2:5" ht="12.75" x14ac:dyDescent="0.35">
      <c r="B911" s="3"/>
      <c r="C911" s="3"/>
      <c r="D911" s="3"/>
      <c r="E911" s="3"/>
    </row>
    <row r="912" spans="2:5" ht="12.75" x14ac:dyDescent="0.35">
      <c r="B912" s="3"/>
      <c r="C912" s="3"/>
      <c r="D912" s="3"/>
      <c r="E912" s="3"/>
    </row>
    <row r="913" spans="2:5" ht="12.75" x14ac:dyDescent="0.35">
      <c r="B913" s="3"/>
      <c r="C913" s="3"/>
      <c r="D913" s="3"/>
      <c r="E913" s="3"/>
    </row>
    <row r="914" spans="2:5" ht="12.75" x14ac:dyDescent="0.35">
      <c r="B914" s="3"/>
      <c r="C914" s="3"/>
      <c r="D914" s="3"/>
      <c r="E914" s="3"/>
    </row>
    <row r="915" spans="2:5" ht="12.75" x14ac:dyDescent="0.35">
      <c r="B915" s="3"/>
      <c r="C915" s="3"/>
      <c r="D915" s="3"/>
      <c r="E915" s="3"/>
    </row>
    <row r="916" spans="2:5" ht="12.75" x14ac:dyDescent="0.35">
      <c r="B916" s="3"/>
      <c r="C916" s="3"/>
      <c r="D916" s="3"/>
      <c r="E916" s="3"/>
    </row>
    <row r="917" spans="2:5" ht="12.75" x14ac:dyDescent="0.35">
      <c r="B917" s="3"/>
      <c r="C917" s="3"/>
      <c r="D917" s="3"/>
      <c r="E917" s="3"/>
    </row>
    <row r="918" spans="2:5" ht="12.75" x14ac:dyDescent="0.35">
      <c r="B918" s="3"/>
      <c r="C918" s="3"/>
      <c r="D918" s="3"/>
      <c r="E918" s="3"/>
    </row>
    <row r="919" spans="2:5" ht="12.75" x14ac:dyDescent="0.35">
      <c r="B919" s="3"/>
      <c r="C919" s="3"/>
      <c r="D919" s="3"/>
      <c r="E919" s="3"/>
    </row>
    <row r="920" spans="2:5" ht="12.75" x14ac:dyDescent="0.35">
      <c r="B920" s="3"/>
      <c r="C920" s="3"/>
      <c r="D920" s="3"/>
      <c r="E920" s="3"/>
    </row>
    <row r="921" spans="2:5" ht="12.75" x14ac:dyDescent="0.35">
      <c r="B921" s="3"/>
      <c r="C921" s="3"/>
      <c r="D921" s="3"/>
      <c r="E921" s="3"/>
    </row>
    <row r="922" spans="2:5" ht="12.75" x14ac:dyDescent="0.35">
      <c r="B922" s="3"/>
      <c r="C922" s="3"/>
      <c r="D922" s="3"/>
      <c r="E922" s="3"/>
    </row>
    <row r="923" spans="2:5" ht="12.75" x14ac:dyDescent="0.35">
      <c r="B923" s="3"/>
      <c r="C923" s="3"/>
      <c r="D923" s="3"/>
      <c r="E923" s="3"/>
    </row>
    <row r="924" spans="2:5" ht="12.75" x14ac:dyDescent="0.35">
      <c r="B924" s="3"/>
      <c r="C924" s="3"/>
      <c r="D924" s="3"/>
      <c r="E924" s="3"/>
    </row>
    <row r="925" spans="2:5" ht="12.75" x14ac:dyDescent="0.35">
      <c r="B925" s="3"/>
      <c r="C925" s="3"/>
      <c r="D925" s="3"/>
      <c r="E925" s="3"/>
    </row>
    <row r="926" spans="2:5" ht="12.75" x14ac:dyDescent="0.35">
      <c r="B926" s="3"/>
      <c r="C926" s="3"/>
      <c r="D926" s="3"/>
      <c r="E926" s="3"/>
    </row>
    <row r="927" spans="2:5" ht="12.75" x14ac:dyDescent="0.35">
      <c r="B927" s="3"/>
      <c r="C927" s="3"/>
      <c r="D927" s="3"/>
      <c r="E927" s="3"/>
    </row>
    <row r="928" spans="2:5" ht="12.75" x14ac:dyDescent="0.35">
      <c r="B928" s="3"/>
      <c r="C928" s="3"/>
      <c r="D928" s="3"/>
      <c r="E928" s="3"/>
    </row>
    <row r="929" spans="2:5" ht="12.75" x14ac:dyDescent="0.35">
      <c r="B929" s="3"/>
      <c r="C929" s="3"/>
      <c r="D929" s="3"/>
      <c r="E929" s="3"/>
    </row>
    <row r="930" spans="2:5" ht="12.75" x14ac:dyDescent="0.35">
      <c r="B930" s="3"/>
      <c r="C930" s="3"/>
      <c r="D930" s="3"/>
      <c r="E930" s="3"/>
    </row>
    <row r="931" spans="2:5" ht="12.75" x14ac:dyDescent="0.35">
      <c r="B931" s="3"/>
      <c r="C931" s="3"/>
      <c r="D931" s="3"/>
      <c r="E931" s="3"/>
    </row>
    <row r="932" spans="2:5" ht="12.75" x14ac:dyDescent="0.35">
      <c r="B932" s="3"/>
      <c r="C932" s="3"/>
      <c r="D932" s="3"/>
      <c r="E932" s="3"/>
    </row>
    <row r="933" spans="2:5" ht="12.75" x14ac:dyDescent="0.35">
      <c r="B933" s="3"/>
      <c r="C933" s="3"/>
      <c r="D933" s="3"/>
      <c r="E933" s="3"/>
    </row>
    <row r="934" spans="2:5" ht="12.75" x14ac:dyDescent="0.35">
      <c r="B934" s="3"/>
      <c r="C934" s="3"/>
      <c r="D934" s="3"/>
      <c r="E934" s="3"/>
    </row>
    <row r="935" spans="2:5" ht="12.75" x14ac:dyDescent="0.35">
      <c r="B935" s="3"/>
      <c r="C935" s="3"/>
      <c r="D935" s="3"/>
      <c r="E935" s="3"/>
    </row>
    <row r="936" spans="2:5" ht="12.75" x14ac:dyDescent="0.35">
      <c r="B936" s="3"/>
      <c r="C936" s="3"/>
      <c r="D936" s="3"/>
      <c r="E936" s="3"/>
    </row>
    <row r="937" spans="2:5" ht="12.75" x14ac:dyDescent="0.35">
      <c r="B937" s="3"/>
      <c r="C937" s="3"/>
      <c r="D937" s="3"/>
      <c r="E937" s="3"/>
    </row>
    <row r="938" spans="2:5" ht="12.75" x14ac:dyDescent="0.35">
      <c r="B938" s="3"/>
      <c r="C938" s="3"/>
      <c r="D938" s="3"/>
      <c r="E938" s="3"/>
    </row>
    <row r="939" spans="2:5" ht="12.75" x14ac:dyDescent="0.35">
      <c r="B939" s="3"/>
      <c r="C939" s="3"/>
      <c r="D939" s="3"/>
      <c r="E939" s="3"/>
    </row>
    <row r="940" spans="2:5" ht="12.75" x14ac:dyDescent="0.35">
      <c r="B940" s="3"/>
      <c r="C940" s="3"/>
      <c r="D940" s="3"/>
      <c r="E940" s="3"/>
    </row>
    <row r="941" spans="2:5" ht="12.75" x14ac:dyDescent="0.35">
      <c r="B941" s="3"/>
      <c r="C941" s="3"/>
      <c r="D941" s="3"/>
      <c r="E941" s="3"/>
    </row>
    <row r="942" spans="2:5" ht="12.75" x14ac:dyDescent="0.35">
      <c r="B942" s="3"/>
      <c r="C942" s="3"/>
      <c r="D942" s="3"/>
      <c r="E942" s="3"/>
    </row>
    <row r="943" spans="2:5" ht="12.75" x14ac:dyDescent="0.35">
      <c r="B943" s="3"/>
      <c r="C943" s="3"/>
      <c r="D943" s="3"/>
      <c r="E943" s="3"/>
    </row>
    <row r="944" spans="2:5" ht="12.75" x14ac:dyDescent="0.35">
      <c r="B944" s="3"/>
      <c r="C944" s="3"/>
      <c r="D944" s="3"/>
      <c r="E944" s="3"/>
    </row>
    <row r="945" spans="2:5" ht="12.75" x14ac:dyDescent="0.35">
      <c r="B945" s="3"/>
      <c r="C945" s="3"/>
      <c r="D945" s="3"/>
      <c r="E945" s="3"/>
    </row>
    <row r="946" spans="2:5" ht="12.75" x14ac:dyDescent="0.35">
      <c r="B946" s="3"/>
      <c r="C946" s="3"/>
      <c r="D946" s="3"/>
      <c r="E946" s="3"/>
    </row>
    <row r="947" spans="2:5" ht="12.75" x14ac:dyDescent="0.35">
      <c r="B947" s="3"/>
      <c r="C947" s="3"/>
      <c r="D947" s="3"/>
      <c r="E947" s="3"/>
    </row>
    <row r="948" spans="2:5" ht="12.75" x14ac:dyDescent="0.35">
      <c r="B948" s="3"/>
      <c r="C948" s="3"/>
      <c r="D948" s="3"/>
      <c r="E948" s="3"/>
    </row>
    <row r="949" spans="2:5" ht="12.75" x14ac:dyDescent="0.35">
      <c r="B949" s="3"/>
      <c r="C949" s="3"/>
      <c r="D949" s="3"/>
      <c r="E949" s="3"/>
    </row>
    <row r="950" spans="2:5" ht="12.75" x14ac:dyDescent="0.35">
      <c r="B950" s="3"/>
      <c r="C950" s="3"/>
      <c r="D950" s="3"/>
      <c r="E950" s="3"/>
    </row>
    <row r="951" spans="2:5" ht="12.75" x14ac:dyDescent="0.35">
      <c r="B951" s="3"/>
      <c r="C951" s="3"/>
      <c r="D951" s="3"/>
      <c r="E951" s="3"/>
    </row>
    <row r="952" spans="2:5" ht="12.75" x14ac:dyDescent="0.35">
      <c r="B952" s="3"/>
      <c r="C952" s="3"/>
      <c r="D952" s="3"/>
      <c r="E952" s="3"/>
    </row>
    <row r="953" spans="2:5" ht="12.75" x14ac:dyDescent="0.35">
      <c r="B953" s="3"/>
      <c r="C953" s="3"/>
      <c r="D953" s="3"/>
      <c r="E953" s="3"/>
    </row>
    <row r="954" spans="2:5" ht="12.75" x14ac:dyDescent="0.35">
      <c r="B954" s="3"/>
      <c r="C954" s="3"/>
      <c r="D954" s="3"/>
      <c r="E954" s="3"/>
    </row>
    <row r="955" spans="2:5" ht="12.75" x14ac:dyDescent="0.35">
      <c r="B955" s="3"/>
      <c r="C955" s="3"/>
      <c r="D955" s="3"/>
      <c r="E955" s="3"/>
    </row>
    <row r="956" spans="2:5" ht="12.75" x14ac:dyDescent="0.35">
      <c r="B956" s="3"/>
      <c r="C956" s="3"/>
      <c r="D956" s="3"/>
      <c r="E956" s="3"/>
    </row>
    <row r="957" spans="2:5" ht="12.75" x14ac:dyDescent="0.35">
      <c r="B957" s="3"/>
      <c r="C957" s="3"/>
      <c r="D957" s="3"/>
      <c r="E957" s="3"/>
    </row>
    <row r="958" spans="2:5" ht="12.75" x14ac:dyDescent="0.35">
      <c r="B958" s="3"/>
      <c r="C958" s="3"/>
      <c r="D958" s="3"/>
      <c r="E958" s="3"/>
    </row>
    <row r="959" spans="2:5" ht="12.75" x14ac:dyDescent="0.35">
      <c r="B959" s="3"/>
      <c r="C959" s="3"/>
      <c r="D959" s="3"/>
      <c r="E959" s="3"/>
    </row>
    <row r="960" spans="2:5" ht="12.75" x14ac:dyDescent="0.35">
      <c r="B960" s="3"/>
      <c r="C960" s="3"/>
      <c r="D960" s="3"/>
      <c r="E960" s="3"/>
    </row>
    <row r="961" spans="2:5" ht="12.75" x14ac:dyDescent="0.35">
      <c r="B961" s="3"/>
      <c r="C961" s="3"/>
      <c r="D961" s="3"/>
      <c r="E961" s="3"/>
    </row>
    <row r="962" spans="2:5" ht="12.75" x14ac:dyDescent="0.35">
      <c r="B962" s="3"/>
      <c r="C962" s="3"/>
      <c r="D962" s="3"/>
      <c r="E962" s="3"/>
    </row>
    <row r="963" spans="2:5" ht="12.75" x14ac:dyDescent="0.35">
      <c r="B963" s="3"/>
      <c r="C963" s="3"/>
      <c r="D963" s="3"/>
      <c r="E963" s="3"/>
    </row>
    <row r="964" spans="2:5" ht="12.75" x14ac:dyDescent="0.35">
      <c r="B964" s="3"/>
      <c r="C964" s="3"/>
      <c r="D964" s="3"/>
      <c r="E964" s="3"/>
    </row>
    <row r="965" spans="2:5" ht="12.75" x14ac:dyDescent="0.35">
      <c r="B965" s="3"/>
      <c r="C965" s="3"/>
      <c r="D965" s="3"/>
      <c r="E965" s="3"/>
    </row>
    <row r="966" spans="2:5" ht="12.75" x14ac:dyDescent="0.35">
      <c r="B966" s="3"/>
      <c r="C966" s="3"/>
      <c r="D966" s="3"/>
      <c r="E9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Gupta</cp:lastModifiedBy>
  <dcterms:modified xsi:type="dcterms:W3CDTF">2025-11-16T15:13:58Z</dcterms:modified>
</cp:coreProperties>
</file>